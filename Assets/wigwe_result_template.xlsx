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hinyere.ukaga\Desktop\"/>
    </mc:Choice>
  </mc:AlternateContent>
  <xr:revisionPtr revIDLastSave="0" documentId="13_ncr:1_{7E776063-6C5E-45FF-BBE9-848A2B2AEA88}" xr6:coauthVersionLast="47" xr6:coauthVersionMax="47" xr10:uidLastSave="{00000000-0000-0000-0000-000000000000}"/>
  <bookViews>
    <workbookView xWindow="-108" yWindow="-108" windowWidth="23256" windowHeight="14856" xr2:uid="{C0EB3BD4-A674-4220-A25C-0C3F9C01B7DA}"/>
  </bookViews>
  <sheets>
    <sheet name="CGPA (2)" sheetId="1" r:id="rId1"/>
    <sheet name="Sheet4" sheetId="5" state="hidden" r:id="rId2"/>
    <sheet name="Sheet3" sheetId="4" state="hidden" r:id="rId3"/>
    <sheet name="GRADEPOINT" sheetId="3" state="hidden" r:id="rId4"/>
    <sheet name="REG. COURS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14" i="1" l="1"/>
  <c r="AQ16" i="1"/>
  <c r="AQ18" i="1"/>
  <c r="AQ20" i="1"/>
  <c r="AQ22" i="1"/>
  <c r="AQ24" i="1"/>
  <c r="AQ26" i="1"/>
  <c r="AQ28" i="1"/>
  <c r="AQ30" i="1"/>
  <c r="AQ32" i="1"/>
  <c r="AQ34" i="1"/>
  <c r="AQ36" i="1"/>
  <c r="AQ38" i="1"/>
  <c r="AQ40" i="1"/>
  <c r="AQ42" i="1"/>
  <c r="AQ44" i="1"/>
  <c r="AQ46" i="1"/>
  <c r="AQ48" i="1"/>
  <c r="AQ50" i="1"/>
  <c r="AQ52" i="1"/>
  <c r="AQ54" i="1"/>
  <c r="AQ56" i="1"/>
  <c r="AQ58" i="1"/>
  <c r="AQ60" i="1"/>
  <c r="AQ62" i="1"/>
  <c r="AQ64" i="1"/>
  <c r="AQ66" i="1"/>
  <c r="AQ68" i="1"/>
  <c r="AQ70" i="1"/>
  <c r="AQ72" i="1"/>
  <c r="AQ74" i="1"/>
  <c r="AQ76" i="1"/>
  <c r="AQ78" i="1"/>
  <c r="AQ80" i="1"/>
  <c r="AQ82" i="1"/>
  <c r="AQ84" i="1"/>
  <c r="AQ86" i="1"/>
  <c r="AQ88" i="1"/>
  <c r="AQ90" i="1"/>
  <c r="AQ92" i="1"/>
  <c r="AQ94" i="1"/>
  <c r="AQ96" i="1"/>
  <c r="AQ98" i="1"/>
  <c r="AQ100" i="1"/>
  <c r="AQ102" i="1"/>
  <c r="AQ104" i="1"/>
  <c r="AQ106" i="1"/>
  <c r="AQ108" i="1"/>
  <c r="AQ110" i="1"/>
  <c r="AQ112" i="1"/>
  <c r="AQ114" i="1"/>
  <c r="AQ116" i="1"/>
  <c r="AQ118" i="1"/>
  <c r="AQ120" i="1"/>
  <c r="AQ122" i="1"/>
  <c r="AQ124" i="1"/>
  <c r="AQ126" i="1"/>
  <c r="AQ128" i="1"/>
  <c r="AQ130" i="1"/>
  <c r="AQ132" i="1"/>
  <c r="AQ134" i="1"/>
  <c r="AQ136" i="1"/>
  <c r="AQ138" i="1"/>
  <c r="AQ140" i="1"/>
  <c r="AQ142" i="1"/>
  <c r="AQ144" i="1"/>
  <c r="AQ146" i="1"/>
  <c r="AQ148" i="1"/>
  <c r="AQ150" i="1"/>
  <c r="AQ152" i="1"/>
  <c r="AQ154" i="1"/>
  <c r="AQ156" i="1"/>
  <c r="AQ158" i="1"/>
  <c r="AQ160" i="1"/>
  <c r="AQ162" i="1"/>
  <c r="AQ164" i="1"/>
  <c r="AQ166" i="1"/>
  <c r="AQ168" i="1"/>
  <c r="AQ170" i="1"/>
  <c r="AQ172" i="1"/>
  <c r="AQ174" i="1"/>
  <c r="AQ176" i="1"/>
  <c r="AQ178" i="1"/>
  <c r="AQ180" i="1"/>
  <c r="AQ182" i="1"/>
  <c r="AQ184" i="1"/>
  <c r="AQ186" i="1"/>
  <c r="AQ188" i="1"/>
  <c r="AQ190" i="1"/>
  <c r="AQ192" i="1"/>
  <c r="AQ194" i="1"/>
  <c r="AQ196" i="1"/>
  <c r="AQ198" i="1"/>
  <c r="AQ200" i="1"/>
  <c r="AQ202" i="1"/>
  <c r="AQ204" i="1"/>
  <c r="AQ206" i="1"/>
  <c r="AQ208" i="1"/>
  <c r="AQ210" i="1"/>
  <c r="AQ212" i="1"/>
  <c r="AQ214" i="1"/>
  <c r="AQ216" i="1"/>
  <c r="AQ218" i="1"/>
  <c r="AQ220" i="1"/>
  <c r="AQ222" i="1"/>
  <c r="AQ224" i="1"/>
  <c r="AQ226" i="1"/>
  <c r="AQ228" i="1"/>
  <c r="AQ230" i="1"/>
  <c r="AQ232" i="1"/>
  <c r="AQ234" i="1"/>
  <c r="AQ236" i="1"/>
  <c r="AQ238" i="1"/>
  <c r="AQ240" i="1"/>
  <c r="AQ242" i="1"/>
  <c r="AQ244" i="1"/>
  <c r="AQ246" i="1"/>
  <c r="AQ248" i="1"/>
  <c r="AQ250" i="1"/>
  <c r="AQ252" i="1"/>
  <c r="AQ254" i="1"/>
  <c r="AQ256" i="1"/>
  <c r="AQ258" i="1"/>
  <c r="AQ260" i="1"/>
  <c r="AQ262" i="1"/>
  <c r="AQ264" i="1"/>
  <c r="AQ266" i="1"/>
  <c r="AQ268" i="1"/>
  <c r="AQ270" i="1"/>
  <c r="AQ272" i="1"/>
  <c r="AQ274" i="1"/>
  <c r="AQ276" i="1"/>
  <c r="AQ278" i="1"/>
  <c r="AQ280" i="1"/>
  <c r="AQ282" i="1"/>
  <c r="AQ284" i="1"/>
  <c r="AQ286" i="1"/>
  <c r="AQ288" i="1"/>
  <c r="AQ290" i="1"/>
  <c r="AQ292" i="1"/>
  <c r="AQ294" i="1"/>
  <c r="AQ296" i="1"/>
  <c r="AQ298" i="1"/>
  <c r="AQ300" i="1"/>
  <c r="AQ302" i="1"/>
  <c r="AQ304" i="1"/>
  <c r="AQ306" i="1"/>
  <c r="AQ308" i="1"/>
  <c r="AQ310" i="1"/>
  <c r="AQ312" i="1"/>
  <c r="AQ314" i="1"/>
  <c r="AQ316" i="1"/>
  <c r="AQ318" i="1"/>
  <c r="AQ320" i="1"/>
  <c r="AQ322" i="1"/>
  <c r="AQ324" i="1"/>
  <c r="AQ326" i="1"/>
  <c r="AP14" i="1" a="1"/>
  <c r="AP14" i="1"/>
  <c r="AP16" i="1" a="1"/>
  <c r="AP16" i="1"/>
  <c r="AP18" i="1" a="1"/>
  <c r="AP18" i="1"/>
  <c r="AP20" i="1" a="1"/>
  <c r="AP20" i="1" s="1"/>
  <c r="AP22" i="1" a="1"/>
  <c r="AP22" i="1"/>
  <c r="AP24" i="1" a="1"/>
  <c r="AP24" i="1"/>
  <c r="AP26" i="1" a="1"/>
  <c r="AP26" i="1"/>
  <c r="AP28" i="1" a="1"/>
  <c r="AP28" i="1"/>
  <c r="AP30" i="1" a="1"/>
  <c r="AP30" i="1"/>
  <c r="AP32" i="1" a="1"/>
  <c r="AP32" i="1" s="1"/>
  <c r="AP34" i="1" a="1"/>
  <c r="AP34" i="1"/>
  <c r="AP36" i="1" a="1"/>
  <c r="AP36" i="1"/>
  <c r="AP38" i="1" a="1"/>
  <c r="AP38" i="1"/>
  <c r="AP40" i="1" a="1"/>
  <c r="AP40" i="1"/>
  <c r="AP42" i="1" a="1"/>
  <c r="AP42" i="1"/>
  <c r="AP44" i="1" a="1"/>
  <c r="AP44" i="1" s="1"/>
  <c r="AP46" i="1" a="1"/>
  <c r="AP46" i="1"/>
  <c r="AP48" i="1" a="1"/>
  <c r="AP48" i="1"/>
  <c r="AP50" i="1" a="1"/>
  <c r="AP50" i="1"/>
  <c r="AP52" i="1" a="1"/>
  <c r="AP52" i="1"/>
  <c r="AP54" i="1" a="1"/>
  <c r="AP54" i="1"/>
  <c r="AP56" i="1" a="1"/>
  <c r="AP56" i="1" s="1"/>
  <c r="AP58" i="1" a="1"/>
  <c r="AP58" i="1"/>
  <c r="AP60" i="1" a="1"/>
  <c r="AP60" i="1"/>
  <c r="AP62" i="1" a="1"/>
  <c r="AP62" i="1"/>
  <c r="AP64" i="1" a="1"/>
  <c r="AP64" i="1"/>
  <c r="AP66" i="1" a="1"/>
  <c r="AP66" i="1"/>
  <c r="AP68" i="1" a="1"/>
  <c r="AP68" i="1" s="1"/>
  <c r="AP70" i="1" a="1"/>
  <c r="AP70" i="1"/>
  <c r="AP72" i="1" a="1"/>
  <c r="AP72" i="1"/>
  <c r="AP74" i="1" a="1"/>
  <c r="AP74" i="1"/>
  <c r="AP76" i="1" a="1"/>
  <c r="AP76" i="1"/>
  <c r="AP78" i="1" a="1"/>
  <c r="AP78" i="1"/>
  <c r="AP80" i="1" a="1"/>
  <c r="AP80" i="1" s="1"/>
  <c r="AP82" i="1" a="1"/>
  <c r="AP82" i="1"/>
  <c r="AP84" i="1" a="1"/>
  <c r="AP84" i="1"/>
  <c r="AP86" i="1" a="1"/>
  <c r="AP86" i="1" s="1"/>
  <c r="AP88" i="1" a="1"/>
  <c r="AP88" i="1"/>
  <c r="AP90" i="1" a="1"/>
  <c r="AP90" i="1"/>
  <c r="AP92" i="1" a="1"/>
  <c r="AP92" i="1" s="1"/>
  <c r="AP94" i="1" a="1"/>
  <c r="AP94" i="1"/>
  <c r="AP96" i="1" a="1"/>
  <c r="AP96" i="1"/>
  <c r="AP98" i="1" a="1"/>
  <c r="AP98" i="1"/>
  <c r="AP100" i="1" a="1"/>
  <c r="AP100" i="1"/>
  <c r="AP102" i="1" a="1"/>
  <c r="AP102" i="1"/>
  <c r="AP104" i="1" a="1"/>
  <c r="AP104" i="1" s="1"/>
  <c r="AP106" i="1" a="1"/>
  <c r="AP106" i="1"/>
  <c r="AP108" i="1" a="1"/>
  <c r="AP108" i="1"/>
  <c r="AP110" i="1" a="1"/>
  <c r="AP110" i="1"/>
  <c r="AP112" i="1" a="1"/>
  <c r="AP112" i="1"/>
  <c r="AP114" i="1" a="1"/>
  <c r="AP114" i="1"/>
  <c r="AP116" i="1" a="1"/>
  <c r="AP116" i="1" s="1"/>
  <c r="AP118" i="1" a="1"/>
  <c r="AP118" i="1"/>
  <c r="AP120" i="1" a="1"/>
  <c r="AP120" i="1"/>
  <c r="AP122" i="1" a="1"/>
  <c r="AP122" i="1"/>
  <c r="AP124" i="1" a="1"/>
  <c r="AP124" i="1"/>
  <c r="AP126" i="1" a="1"/>
  <c r="AP126" i="1"/>
  <c r="AP128" i="1" a="1"/>
  <c r="AP128" i="1" s="1"/>
  <c r="AP130" i="1" a="1"/>
  <c r="AP130" i="1"/>
  <c r="AP132" i="1" a="1"/>
  <c r="AP132" i="1"/>
  <c r="AP134" i="1" a="1"/>
  <c r="AP134" i="1"/>
  <c r="AP136" i="1" a="1"/>
  <c r="AP136" i="1"/>
  <c r="AP138" i="1" a="1"/>
  <c r="AP138" i="1"/>
  <c r="AP140" i="1" a="1"/>
  <c r="AP140" i="1" s="1"/>
  <c r="AP142" i="1" a="1"/>
  <c r="AP142" i="1"/>
  <c r="AP144" i="1" a="1"/>
  <c r="AP144" i="1"/>
  <c r="AP146" i="1" a="1"/>
  <c r="AP146" i="1"/>
  <c r="AP148" i="1" a="1"/>
  <c r="AP148" i="1"/>
  <c r="AP150" i="1" a="1"/>
  <c r="AP150" i="1"/>
  <c r="AP152" i="1" a="1"/>
  <c r="AP152" i="1" s="1"/>
  <c r="AP154" i="1" a="1"/>
  <c r="AP154" i="1"/>
  <c r="AP156" i="1" a="1"/>
  <c r="AP156" i="1"/>
  <c r="AP158" i="1" a="1"/>
  <c r="AP158" i="1"/>
  <c r="AP160" i="1" a="1"/>
  <c r="AP160" i="1"/>
  <c r="AP162" i="1" a="1"/>
  <c r="AP162" i="1"/>
  <c r="AP164" i="1" a="1"/>
  <c r="AP164" i="1" s="1"/>
  <c r="AP166" i="1" a="1"/>
  <c r="AP166" i="1"/>
  <c r="AP168" i="1" a="1"/>
  <c r="AP168" i="1"/>
  <c r="AP170" i="1" a="1"/>
  <c r="AP170" i="1"/>
  <c r="AP172" i="1" a="1"/>
  <c r="AP172" i="1"/>
  <c r="AP174" i="1" a="1"/>
  <c r="AP174" i="1"/>
  <c r="AP176" i="1" a="1"/>
  <c r="AP176" i="1" s="1"/>
  <c r="AP178" i="1" a="1"/>
  <c r="AP178" i="1"/>
  <c r="AP180" i="1" a="1"/>
  <c r="AP180" i="1"/>
  <c r="AP182" i="1" a="1"/>
  <c r="AP182" i="1"/>
  <c r="AP184" i="1" a="1"/>
  <c r="AP184" i="1"/>
  <c r="AP186" i="1" a="1"/>
  <c r="AP186" i="1"/>
  <c r="AP188" i="1" a="1"/>
  <c r="AP188" i="1" s="1"/>
  <c r="AP190" i="1" a="1"/>
  <c r="AP190" i="1"/>
  <c r="AP192" i="1" a="1"/>
  <c r="AP192" i="1"/>
  <c r="AP194" i="1" a="1"/>
  <c r="AP194" i="1"/>
  <c r="AP196" i="1" a="1"/>
  <c r="AP196" i="1"/>
  <c r="AP198" i="1" a="1"/>
  <c r="AP198" i="1"/>
  <c r="AP200" i="1" a="1"/>
  <c r="AP200" i="1" s="1"/>
  <c r="AP202" i="1" a="1"/>
  <c r="AP202" i="1"/>
  <c r="AP204" i="1" a="1"/>
  <c r="AP204" i="1"/>
  <c r="AP206" i="1" a="1"/>
  <c r="AP206" i="1"/>
  <c r="AP208" i="1" a="1"/>
  <c r="AP208" i="1"/>
  <c r="AP210" i="1" a="1"/>
  <c r="AP210" i="1"/>
  <c r="AP212" i="1" a="1"/>
  <c r="AP212" i="1" s="1"/>
  <c r="AP214" i="1" a="1"/>
  <c r="AP214" i="1"/>
  <c r="AP216" i="1" a="1"/>
  <c r="AP216" i="1"/>
  <c r="AP218" i="1" a="1"/>
  <c r="AP218" i="1"/>
  <c r="AP220" i="1" a="1"/>
  <c r="AP220" i="1"/>
  <c r="AP222" i="1" a="1"/>
  <c r="AP222" i="1"/>
  <c r="AP224" i="1" a="1"/>
  <c r="AP224" i="1" s="1"/>
  <c r="AP226" i="1" a="1"/>
  <c r="AP226" i="1"/>
  <c r="AP228" i="1" a="1"/>
  <c r="AP228" i="1"/>
  <c r="AP230" i="1" a="1"/>
  <c r="AP230" i="1"/>
  <c r="AP232" i="1" a="1"/>
  <c r="AP232" i="1"/>
  <c r="AP234" i="1" a="1"/>
  <c r="AP234" i="1"/>
  <c r="AP236" i="1" a="1"/>
  <c r="AP236" i="1" s="1"/>
  <c r="AP238" i="1" a="1"/>
  <c r="AP238" i="1"/>
  <c r="AP240" i="1" a="1"/>
  <c r="AP240" i="1"/>
  <c r="AP242" i="1" a="1"/>
  <c r="AP242" i="1"/>
  <c r="AP244" i="1" a="1"/>
  <c r="AP244" i="1"/>
  <c r="AP246" i="1" a="1"/>
  <c r="AP246" i="1"/>
  <c r="AP248" i="1" a="1"/>
  <c r="AP248" i="1" s="1"/>
  <c r="AP250" i="1" a="1"/>
  <c r="AP250" i="1"/>
  <c r="AP252" i="1" a="1"/>
  <c r="AP252" i="1" s="1"/>
  <c r="AP254" i="1" a="1"/>
  <c r="AP254" i="1"/>
  <c r="AP256" i="1" a="1"/>
  <c r="AP256" i="1"/>
  <c r="AP258" i="1" a="1"/>
  <c r="AP258" i="1"/>
  <c r="AP260" i="1" a="1"/>
  <c r="AP260" i="1" s="1"/>
  <c r="AP262" i="1" a="1"/>
  <c r="AP262" i="1"/>
  <c r="AP264" i="1" a="1"/>
  <c r="AP264" i="1"/>
  <c r="AP266" i="1" a="1"/>
  <c r="AP266" i="1"/>
  <c r="AP268" i="1" a="1"/>
  <c r="AP268" i="1"/>
  <c r="AP270" i="1" a="1"/>
  <c r="AP270" i="1"/>
  <c r="AP272" i="1" a="1"/>
  <c r="AP272" i="1" s="1"/>
  <c r="AP274" i="1" a="1"/>
  <c r="AP274" i="1"/>
  <c r="AP276" i="1" a="1"/>
  <c r="AP276" i="1"/>
  <c r="AP278" i="1" a="1"/>
  <c r="AP278" i="1"/>
  <c r="AP280" i="1" a="1"/>
  <c r="AP280" i="1"/>
  <c r="AP282" i="1" a="1"/>
  <c r="AP282" i="1"/>
  <c r="AP284" i="1" a="1"/>
  <c r="AP284" i="1" s="1"/>
  <c r="AP286" i="1" a="1"/>
  <c r="AP286" i="1"/>
  <c r="AP288" i="1" a="1"/>
  <c r="AP288" i="1"/>
  <c r="AP290" i="1" a="1"/>
  <c r="AP290" i="1"/>
  <c r="AP292" i="1" a="1"/>
  <c r="AP292" i="1"/>
  <c r="AP294" i="1" a="1"/>
  <c r="AP294" i="1"/>
  <c r="AP296" i="1" a="1"/>
  <c r="AP296" i="1" s="1"/>
  <c r="AP298" i="1" a="1"/>
  <c r="AP298" i="1"/>
  <c r="AP300" i="1" a="1"/>
  <c r="AP300" i="1"/>
  <c r="AP302" i="1" a="1"/>
  <c r="AP302" i="1"/>
  <c r="AP304" i="1" a="1"/>
  <c r="AP304" i="1"/>
  <c r="AP306" i="1" a="1"/>
  <c r="AP306" i="1"/>
  <c r="AP308" i="1" a="1"/>
  <c r="AP308" i="1" s="1"/>
  <c r="AP310" i="1" a="1"/>
  <c r="AP310" i="1"/>
  <c r="AP312" i="1" a="1"/>
  <c r="AP312" i="1"/>
  <c r="AP314" i="1" a="1"/>
  <c r="AP314" i="1"/>
  <c r="AP316" i="1" a="1"/>
  <c r="AP316" i="1"/>
  <c r="AP318" i="1" a="1"/>
  <c r="AP318" i="1"/>
  <c r="AP320" i="1" a="1"/>
  <c r="AP320" i="1" s="1"/>
  <c r="AP322" i="1" a="1"/>
  <c r="AP322" i="1"/>
  <c r="AP324" i="1" a="1"/>
  <c r="AP324" i="1"/>
  <c r="AP326" i="1" a="1"/>
  <c r="AP326" i="1"/>
  <c r="AO15" i="1"/>
  <c r="AO17" i="1"/>
  <c r="AO19" i="1"/>
  <c r="AO21" i="1"/>
  <c r="AO23" i="1"/>
  <c r="AO25" i="1"/>
  <c r="AO27" i="1"/>
  <c r="AO29" i="1"/>
  <c r="AO31" i="1"/>
  <c r="AO33" i="1"/>
  <c r="AO35" i="1"/>
  <c r="AO37" i="1"/>
  <c r="AO39" i="1"/>
  <c r="AO41" i="1"/>
  <c r="AO43" i="1"/>
  <c r="AO45" i="1"/>
  <c r="AO47" i="1"/>
  <c r="AO49" i="1"/>
  <c r="AO51" i="1"/>
  <c r="AO53" i="1"/>
  <c r="AO55" i="1"/>
  <c r="AO57" i="1"/>
  <c r="AO59" i="1"/>
  <c r="AO61" i="1"/>
  <c r="AO63" i="1"/>
  <c r="AO65" i="1"/>
  <c r="AO67" i="1"/>
  <c r="AO69" i="1"/>
  <c r="AO71" i="1"/>
  <c r="AO73" i="1"/>
  <c r="AO75" i="1"/>
  <c r="AO77" i="1"/>
  <c r="AO79" i="1"/>
  <c r="AO81" i="1"/>
  <c r="AO83" i="1"/>
  <c r="AO85" i="1"/>
  <c r="AO87" i="1"/>
  <c r="AO89" i="1"/>
  <c r="AO91" i="1"/>
  <c r="AO93" i="1"/>
  <c r="AO95" i="1"/>
  <c r="AO97" i="1"/>
  <c r="AO99" i="1"/>
  <c r="AO101" i="1"/>
  <c r="AO103" i="1"/>
  <c r="AO105" i="1"/>
  <c r="AO107" i="1"/>
  <c r="AO109" i="1"/>
  <c r="AO111" i="1"/>
  <c r="AO113" i="1"/>
  <c r="AO115" i="1"/>
  <c r="AO117" i="1"/>
  <c r="AO119" i="1"/>
  <c r="AO121" i="1"/>
  <c r="AO123" i="1"/>
  <c r="AO125" i="1"/>
  <c r="AO127" i="1"/>
  <c r="AO129" i="1"/>
  <c r="AO131" i="1"/>
  <c r="AO133" i="1"/>
  <c r="AO135" i="1"/>
  <c r="AO137" i="1"/>
  <c r="AO139" i="1"/>
  <c r="AO141" i="1"/>
  <c r="AO143" i="1"/>
  <c r="AO145" i="1"/>
  <c r="AO147" i="1"/>
  <c r="AO149" i="1"/>
  <c r="AO151" i="1"/>
  <c r="AO153" i="1"/>
  <c r="AO155" i="1"/>
  <c r="AO157" i="1"/>
  <c r="AO159" i="1"/>
  <c r="AO161" i="1"/>
  <c r="AO163" i="1"/>
  <c r="AO165" i="1"/>
  <c r="AO167" i="1"/>
  <c r="AO169" i="1"/>
  <c r="AO171" i="1"/>
  <c r="AO173" i="1"/>
  <c r="AO175" i="1"/>
  <c r="AO177" i="1"/>
  <c r="AO179" i="1"/>
  <c r="AO181" i="1"/>
  <c r="AO183" i="1"/>
  <c r="AO185" i="1"/>
  <c r="AO187" i="1"/>
  <c r="AO189" i="1"/>
  <c r="AO191" i="1"/>
  <c r="AO193" i="1"/>
  <c r="AO195" i="1"/>
  <c r="AO197" i="1"/>
  <c r="AO199" i="1"/>
  <c r="AO201" i="1"/>
  <c r="AO203" i="1"/>
  <c r="AO205" i="1"/>
  <c r="AO207" i="1"/>
  <c r="AO209" i="1"/>
  <c r="AO211" i="1"/>
  <c r="AO213" i="1"/>
  <c r="AO215" i="1"/>
  <c r="AO217" i="1"/>
  <c r="AO219" i="1"/>
  <c r="AO221" i="1"/>
  <c r="AO223" i="1"/>
  <c r="AO225" i="1"/>
  <c r="AO227" i="1"/>
  <c r="AO229" i="1"/>
  <c r="AO231" i="1"/>
  <c r="AO233" i="1"/>
  <c r="AO235" i="1"/>
  <c r="AO237" i="1"/>
  <c r="AO239" i="1"/>
  <c r="AO241" i="1"/>
  <c r="AO243" i="1"/>
  <c r="AO245" i="1"/>
  <c r="AO247" i="1"/>
  <c r="AO249" i="1"/>
  <c r="AO251" i="1"/>
  <c r="AO253" i="1"/>
  <c r="AO255" i="1"/>
  <c r="AO257" i="1"/>
  <c r="AO259" i="1"/>
  <c r="AO261" i="1"/>
  <c r="AO263" i="1"/>
  <c r="AO265" i="1"/>
  <c r="AO267" i="1"/>
  <c r="AO269" i="1"/>
  <c r="AO271" i="1"/>
  <c r="AO273" i="1"/>
  <c r="AO275" i="1"/>
  <c r="AO277" i="1"/>
  <c r="AO279" i="1"/>
  <c r="AO281" i="1"/>
  <c r="AO283" i="1"/>
  <c r="AO285" i="1"/>
  <c r="AO287" i="1"/>
  <c r="AO289" i="1"/>
  <c r="AO291" i="1"/>
  <c r="AO293" i="1"/>
  <c r="AO295" i="1"/>
  <c r="AO297" i="1"/>
  <c r="AO299" i="1"/>
  <c r="AO301" i="1"/>
  <c r="AO303" i="1"/>
  <c r="AO305" i="1"/>
  <c r="AO307" i="1"/>
  <c r="AO309" i="1"/>
  <c r="AO311" i="1"/>
  <c r="AO313" i="1"/>
  <c r="AO315" i="1"/>
  <c r="AO317" i="1"/>
  <c r="AO319" i="1"/>
  <c r="AO321" i="1"/>
  <c r="AO323" i="1"/>
  <c r="AO325" i="1"/>
  <c r="AO327" i="1"/>
  <c r="AN15" i="1"/>
  <c r="AN17" i="1"/>
  <c r="AN19" i="1"/>
  <c r="AN21" i="1"/>
  <c r="AN23" i="1"/>
  <c r="AN25" i="1"/>
  <c r="AN27" i="1"/>
  <c r="AN29" i="1"/>
  <c r="AN31" i="1"/>
  <c r="AN33" i="1"/>
  <c r="AN35" i="1"/>
  <c r="AN37" i="1"/>
  <c r="AN39" i="1"/>
  <c r="AN41" i="1"/>
  <c r="AN43" i="1"/>
  <c r="AN45" i="1"/>
  <c r="AN47" i="1"/>
  <c r="AN49" i="1"/>
  <c r="AN51" i="1"/>
  <c r="AN53" i="1"/>
  <c r="AN55" i="1"/>
  <c r="AN57" i="1"/>
  <c r="AN59" i="1"/>
  <c r="AN61" i="1"/>
  <c r="AN63" i="1"/>
  <c r="AN65" i="1"/>
  <c r="AN67" i="1"/>
  <c r="AN69" i="1"/>
  <c r="AN71" i="1"/>
  <c r="AN73" i="1"/>
  <c r="AN75" i="1"/>
  <c r="AN77" i="1"/>
  <c r="AN79" i="1"/>
  <c r="AN81" i="1"/>
  <c r="AN83" i="1"/>
  <c r="AN85" i="1"/>
  <c r="AN87" i="1"/>
  <c r="AN89" i="1"/>
  <c r="AN91" i="1"/>
  <c r="AN93" i="1"/>
  <c r="AN95" i="1"/>
  <c r="AN97" i="1"/>
  <c r="AN99" i="1"/>
  <c r="AN101" i="1"/>
  <c r="AN103" i="1"/>
  <c r="AN105" i="1"/>
  <c r="AN107" i="1"/>
  <c r="AN109" i="1"/>
  <c r="AN111" i="1"/>
  <c r="AN113" i="1"/>
  <c r="AN115" i="1"/>
  <c r="AN117" i="1"/>
  <c r="AN119" i="1"/>
  <c r="AN121" i="1"/>
  <c r="AN123" i="1"/>
  <c r="AN125" i="1"/>
  <c r="AN127" i="1"/>
  <c r="AN129" i="1"/>
  <c r="AN131" i="1"/>
  <c r="AN133" i="1"/>
  <c r="AN135" i="1"/>
  <c r="AN137" i="1"/>
  <c r="AN139" i="1"/>
  <c r="AN141" i="1"/>
  <c r="AN143" i="1"/>
  <c r="AN145" i="1"/>
  <c r="AN147" i="1"/>
  <c r="AN149" i="1"/>
  <c r="AN151" i="1"/>
  <c r="AN153" i="1"/>
  <c r="AN155" i="1"/>
  <c r="AN157" i="1"/>
  <c r="AN159" i="1"/>
  <c r="AN161" i="1"/>
  <c r="AN163" i="1"/>
  <c r="AN165" i="1"/>
  <c r="AN167" i="1"/>
  <c r="AN169" i="1"/>
  <c r="AN171" i="1"/>
  <c r="AN173" i="1"/>
  <c r="AN175" i="1"/>
  <c r="AN177" i="1"/>
  <c r="AN179" i="1"/>
  <c r="AN181" i="1"/>
  <c r="AN183" i="1"/>
  <c r="AN185" i="1"/>
  <c r="AN187" i="1"/>
  <c r="AN189" i="1"/>
  <c r="AN191" i="1"/>
  <c r="AN193" i="1"/>
  <c r="AN195" i="1"/>
  <c r="AN197" i="1"/>
  <c r="AN199" i="1"/>
  <c r="AN201" i="1"/>
  <c r="AN203" i="1"/>
  <c r="AN205" i="1"/>
  <c r="AN207" i="1"/>
  <c r="AN209" i="1"/>
  <c r="AN211" i="1"/>
  <c r="AN213" i="1"/>
  <c r="AN215" i="1"/>
  <c r="AN217" i="1"/>
  <c r="AN219" i="1"/>
  <c r="AN221" i="1"/>
  <c r="AN223" i="1"/>
  <c r="AN225" i="1"/>
  <c r="AN227" i="1"/>
  <c r="AN229" i="1"/>
  <c r="AN231" i="1"/>
  <c r="AN233" i="1"/>
  <c r="AN235" i="1"/>
  <c r="AN237" i="1"/>
  <c r="AN239" i="1"/>
  <c r="AN241" i="1"/>
  <c r="AN243" i="1"/>
  <c r="AN245" i="1"/>
  <c r="AN247" i="1"/>
  <c r="AN249" i="1"/>
  <c r="AN251" i="1"/>
  <c r="AN253" i="1"/>
  <c r="AN255" i="1"/>
  <c r="AN257" i="1"/>
  <c r="AN259" i="1"/>
  <c r="AN261" i="1"/>
  <c r="AN263" i="1"/>
  <c r="AN265" i="1"/>
  <c r="AN267" i="1"/>
  <c r="AN269" i="1"/>
  <c r="AN271" i="1"/>
  <c r="AN273" i="1"/>
  <c r="AN275" i="1"/>
  <c r="AN277" i="1"/>
  <c r="AN279" i="1"/>
  <c r="AN281" i="1"/>
  <c r="AN283" i="1"/>
  <c r="AN285" i="1"/>
  <c r="AN287" i="1"/>
  <c r="AN289" i="1"/>
  <c r="AN291" i="1"/>
  <c r="AN293" i="1"/>
  <c r="AN295" i="1"/>
  <c r="AN297" i="1"/>
  <c r="AN299" i="1"/>
  <c r="AN301" i="1"/>
  <c r="AN303" i="1"/>
  <c r="AN305" i="1"/>
  <c r="AN307" i="1"/>
  <c r="AN309" i="1"/>
  <c r="AN311" i="1"/>
  <c r="AN313" i="1"/>
  <c r="AN315" i="1"/>
  <c r="AN317" i="1"/>
  <c r="AN319" i="1"/>
  <c r="AN321" i="1"/>
  <c r="AN323" i="1"/>
  <c r="AN325" i="1"/>
  <c r="AN327" i="1"/>
  <c r="AM9" i="1"/>
  <c r="AM11" i="1"/>
  <c r="AM13" i="1"/>
  <c r="AM15" i="1"/>
  <c r="AM17" i="1"/>
  <c r="AM19" i="1"/>
  <c r="AM21" i="1"/>
  <c r="AM23" i="1"/>
  <c r="AM25" i="1"/>
  <c r="AM27" i="1"/>
  <c r="AM29" i="1"/>
  <c r="AM31" i="1"/>
  <c r="AM33" i="1"/>
  <c r="AM35" i="1"/>
  <c r="AM37" i="1"/>
  <c r="AM39" i="1"/>
  <c r="AM41" i="1"/>
  <c r="AM43" i="1"/>
  <c r="AM45" i="1"/>
  <c r="AM47" i="1"/>
  <c r="AM49" i="1"/>
  <c r="AM51" i="1"/>
  <c r="AM53" i="1"/>
  <c r="AM55" i="1"/>
  <c r="AM57" i="1"/>
  <c r="AM59" i="1"/>
  <c r="AM61" i="1"/>
  <c r="AM63" i="1"/>
  <c r="AM65" i="1"/>
  <c r="AM67" i="1"/>
  <c r="AM69" i="1"/>
  <c r="AM71" i="1"/>
  <c r="AM73" i="1"/>
  <c r="AM75" i="1"/>
  <c r="AM77" i="1"/>
  <c r="AM79" i="1"/>
  <c r="AM81" i="1"/>
  <c r="AM83" i="1"/>
  <c r="AM85" i="1"/>
  <c r="AM87" i="1"/>
  <c r="AM89" i="1"/>
  <c r="AM91" i="1"/>
  <c r="AM93" i="1"/>
  <c r="AM95" i="1"/>
  <c r="AM97" i="1"/>
  <c r="AM99" i="1"/>
  <c r="AM101" i="1"/>
  <c r="AM103" i="1"/>
  <c r="AM105" i="1"/>
  <c r="AM107" i="1"/>
  <c r="AM109" i="1"/>
  <c r="AM111" i="1"/>
  <c r="AM113" i="1"/>
  <c r="AM115" i="1"/>
  <c r="AM117" i="1"/>
  <c r="AM119" i="1"/>
  <c r="AM121" i="1"/>
  <c r="AM123" i="1"/>
  <c r="AM125" i="1"/>
  <c r="AM127" i="1"/>
  <c r="AM129" i="1"/>
  <c r="AM131" i="1"/>
  <c r="AM133" i="1"/>
  <c r="AM135" i="1"/>
  <c r="AM137" i="1"/>
  <c r="AM139" i="1"/>
  <c r="AM141" i="1"/>
  <c r="AM143" i="1"/>
  <c r="AM145" i="1"/>
  <c r="AM147" i="1"/>
  <c r="AM149" i="1"/>
  <c r="AM151" i="1"/>
  <c r="AM153" i="1"/>
  <c r="AM155" i="1"/>
  <c r="AM157" i="1"/>
  <c r="AM159" i="1"/>
  <c r="AM161" i="1"/>
  <c r="AM163" i="1"/>
  <c r="AM165" i="1"/>
  <c r="AM167" i="1"/>
  <c r="AM169" i="1"/>
  <c r="AM171" i="1"/>
  <c r="AM173" i="1"/>
  <c r="AM175" i="1"/>
  <c r="AM177" i="1"/>
  <c r="AM179" i="1"/>
  <c r="AM181" i="1"/>
  <c r="AM183" i="1"/>
  <c r="AM185" i="1"/>
  <c r="AM187" i="1"/>
  <c r="AM189" i="1"/>
  <c r="AM191" i="1"/>
  <c r="AM193" i="1"/>
  <c r="AM195" i="1"/>
  <c r="AM197" i="1"/>
  <c r="AM199" i="1"/>
  <c r="AM201" i="1"/>
  <c r="AM203" i="1"/>
  <c r="AM205" i="1"/>
  <c r="AM207" i="1"/>
  <c r="AM209" i="1"/>
  <c r="AM211" i="1"/>
  <c r="AM213" i="1"/>
  <c r="AM215" i="1"/>
  <c r="AM217" i="1"/>
  <c r="AM219" i="1"/>
  <c r="AM221" i="1"/>
  <c r="AM223" i="1"/>
  <c r="AM225" i="1"/>
  <c r="AM227" i="1"/>
  <c r="AM229" i="1"/>
  <c r="AM231" i="1"/>
  <c r="AM233" i="1"/>
  <c r="AM235" i="1"/>
  <c r="AM237" i="1"/>
  <c r="AM239" i="1"/>
  <c r="AM241" i="1"/>
  <c r="AM243" i="1"/>
  <c r="AM245" i="1"/>
  <c r="AM247" i="1"/>
  <c r="AM249" i="1"/>
  <c r="AM251" i="1"/>
  <c r="AM253" i="1"/>
  <c r="AM255" i="1"/>
  <c r="AM257" i="1"/>
  <c r="AM259" i="1"/>
  <c r="AM261" i="1"/>
  <c r="AM263" i="1"/>
  <c r="AM265" i="1"/>
  <c r="AM267" i="1"/>
  <c r="AM269" i="1"/>
  <c r="AM271" i="1"/>
  <c r="AM273" i="1"/>
  <c r="AM275" i="1"/>
  <c r="AM277" i="1"/>
  <c r="AM279" i="1"/>
  <c r="AM281" i="1"/>
  <c r="AM283" i="1"/>
  <c r="AM285" i="1"/>
  <c r="AM287" i="1"/>
  <c r="AM289" i="1"/>
  <c r="AM291" i="1"/>
  <c r="AM293" i="1"/>
  <c r="AM295" i="1"/>
  <c r="AM297" i="1"/>
  <c r="AM299" i="1"/>
  <c r="AM301" i="1"/>
  <c r="AM303" i="1"/>
  <c r="AM305" i="1"/>
  <c r="AM307" i="1"/>
  <c r="AM309" i="1"/>
  <c r="AM311" i="1"/>
  <c r="AM313" i="1"/>
  <c r="AM315" i="1"/>
  <c r="AM317" i="1"/>
  <c r="AM319" i="1"/>
  <c r="AM321" i="1"/>
  <c r="AM323" i="1"/>
  <c r="AM325" i="1"/>
  <c r="AM327" i="1"/>
  <c r="V33" i="1" a="1"/>
  <c r="V33" i="1" s="1"/>
  <c r="Q8" i="5"/>
  <c r="Q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A8" i="5"/>
  <c r="A4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A7" i="5"/>
  <c r="A6" i="5" a="1"/>
  <c r="A6" i="5"/>
  <c r="A3" i="5"/>
  <c r="O6" i="5" a="1"/>
  <c r="O6" i="5" s="1"/>
  <c r="N6" i="5" a="1"/>
  <c r="N6" i="5" s="1"/>
  <c r="M6" i="5" a="1"/>
  <c r="M6" i="5" s="1"/>
  <c r="L6" i="5" a="1"/>
  <c r="L6" i="5" s="1"/>
  <c r="K6" i="5"/>
  <c r="K6" i="5" a="1"/>
  <c r="J6" i="5" a="1"/>
  <c r="J6" i="5" s="1"/>
  <c r="I6" i="5" a="1"/>
  <c r="I6" i="5" s="1"/>
  <c r="H6" i="5" a="1"/>
  <c r="H6" i="5" s="1"/>
  <c r="G6" i="5"/>
  <c r="G6" i="5" a="1"/>
  <c r="F6" i="5" a="1"/>
  <c r="F6" i="5" s="1"/>
  <c r="E6" i="5"/>
  <c r="E6" i="5" a="1"/>
  <c r="D6" i="5" a="1"/>
  <c r="D6" i="5" s="1"/>
  <c r="C6" i="5" a="1"/>
  <c r="C6" i="5" s="1"/>
  <c r="B6" i="5" a="1"/>
  <c r="B6" i="5" s="1"/>
  <c r="J9" i="1" a="1"/>
  <c r="J9" i="1" s="1"/>
  <c r="K9" i="1" a="1"/>
  <c r="K9" i="1" s="1"/>
  <c r="L9" i="1" a="1"/>
  <c r="L9" i="1" s="1"/>
  <c r="M9" i="1" a="1"/>
  <c r="M9" i="1" s="1"/>
  <c r="N9" i="1" a="1"/>
  <c r="N9" i="1" s="1"/>
  <c r="O9" i="1" a="1"/>
  <c r="O9" i="1"/>
  <c r="P9" i="1" a="1"/>
  <c r="P9" i="1" s="1"/>
  <c r="Q9" i="1" a="1"/>
  <c r="Q9" i="1" s="1"/>
  <c r="R9" i="1" a="1"/>
  <c r="R9" i="1" s="1"/>
  <c r="S9" i="1" a="1"/>
  <c r="S9" i="1"/>
  <c r="T9" i="1" a="1"/>
  <c r="T9" i="1" s="1"/>
  <c r="U9" i="1" a="1"/>
  <c r="U9" i="1"/>
  <c r="V9" i="1" a="1"/>
  <c r="V9" i="1" s="1"/>
  <c r="W9" i="1" a="1"/>
  <c r="W9" i="1" s="1"/>
  <c r="Q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Q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A1" i="4" a="1"/>
  <c r="A1" i="4" s="1"/>
  <c r="AM7" i="1" l="1"/>
  <c r="I241" i="1" l="1" a="1"/>
  <c r="I241" i="1"/>
  <c r="J241" i="1" a="1"/>
  <c r="J241" i="1"/>
  <c r="K241" i="1" a="1"/>
  <c r="K241" i="1"/>
  <c r="L241" i="1" a="1"/>
  <c r="L241" i="1" s="1"/>
  <c r="M241" i="1" a="1"/>
  <c r="M241" i="1"/>
  <c r="N241" i="1" a="1"/>
  <c r="N241" i="1"/>
  <c r="O241" i="1" a="1"/>
  <c r="O241" i="1"/>
  <c r="P241" i="1" a="1"/>
  <c r="P241" i="1"/>
  <c r="Q241" i="1" a="1"/>
  <c r="Q241" i="1"/>
  <c r="R241" i="1" a="1"/>
  <c r="R241" i="1" s="1"/>
  <c r="S241" i="1" a="1"/>
  <c r="S241" i="1"/>
  <c r="T241" i="1" a="1"/>
  <c r="T241" i="1"/>
  <c r="U241" i="1" a="1"/>
  <c r="U241" i="1"/>
  <c r="V241" i="1" a="1"/>
  <c r="V241" i="1"/>
  <c r="W241" i="1" a="1"/>
  <c r="W241" i="1"/>
  <c r="I243" i="1" a="1"/>
  <c r="I243" i="1"/>
  <c r="J243" i="1" a="1"/>
  <c r="J243" i="1"/>
  <c r="K243" i="1" a="1"/>
  <c r="K243" i="1"/>
  <c r="L243" i="1" a="1"/>
  <c r="L243" i="1" s="1"/>
  <c r="M243" i="1" a="1"/>
  <c r="M243" i="1" s="1"/>
  <c r="N243" i="1" a="1"/>
  <c r="N243" i="1"/>
  <c r="O243" i="1" a="1"/>
  <c r="O243" i="1"/>
  <c r="P243" i="1" a="1"/>
  <c r="P243" i="1"/>
  <c r="Q243" i="1" a="1"/>
  <c r="Q243" i="1"/>
  <c r="R243" i="1" a="1"/>
  <c r="R243" i="1" s="1"/>
  <c r="S243" i="1" a="1"/>
  <c r="S243" i="1"/>
  <c r="T243" i="1" a="1"/>
  <c r="T243" i="1" s="1"/>
  <c r="U243" i="1" a="1"/>
  <c r="U243" i="1"/>
  <c r="V243" i="1" a="1"/>
  <c r="V243" i="1"/>
  <c r="W243" i="1" a="1"/>
  <c r="W243" i="1"/>
  <c r="I245" i="1" a="1"/>
  <c r="I245" i="1"/>
  <c r="J245" i="1" a="1"/>
  <c r="J245" i="1"/>
  <c r="K245" i="1" a="1"/>
  <c r="K245" i="1"/>
  <c r="L245" i="1" a="1"/>
  <c r="L245" i="1" s="1"/>
  <c r="M245" i="1" a="1"/>
  <c r="M245" i="1"/>
  <c r="N245" i="1" a="1"/>
  <c r="N245" i="1" s="1"/>
  <c r="O245" i="1" a="1"/>
  <c r="O245" i="1"/>
  <c r="P245" i="1" a="1"/>
  <c r="P245" i="1"/>
  <c r="Q245" i="1" a="1"/>
  <c r="Q245" i="1"/>
  <c r="R245" i="1" a="1"/>
  <c r="R245" i="1" s="1"/>
  <c r="S245" i="1" a="1"/>
  <c r="S245" i="1"/>
  <c r="T245" i="1" a="1"/>
  <c r="T245" i="1"/>
  <c r="U245" i="1" a="1"/>
  <c r="U245" i="1" s="1"/>
  <c r="V245" i="1" a="1"/>
  <c r="V245" i="1"/>
  <c r="W245" i="1" a="1"/>
  <c r="W245" i="1"/>
  <c r="I247" i="1" a="1"/>
  <c r="I247" i="1" s="1"/>
  <c r="J247" i="1" a="1"/>
  <c r="J247" i="1"/>
  <c r="K247" i="1" a="1"/>
  <c r="K247" i="1"/>
  <c r="L247" i="1" a="1"/>
  <c r="L247" i="1" s="1"/>
  <c r="M247" i="1" a="1"/>
  <c r="M247" i="1"/>
  <c r="N247" i="1" a="1"/>
  <c r="N247" i="1"/>
  <c r="O247" i="1" a="1"/>
  <c r="O247" i="1" s="1"/>
  <c r="P247" i="1" a="1"/>
  <c r="P247" i="1"/>
  <c r="Q247" i="1" a="1"/>
  <c r="Q247" i="1"/>
  <c r="R247" i="1" a="1"/>
  <c r="R247" i="1" s="1"/>
  <c r="S247" i="1" a="1"/>
  <c r="S247" i="1"/>
  <c r="T247" i="1" a="1"/>
  <c r="T247" i="1"/>
  <c r="U247" i="1" a="1"/>
  <c r="U247" i="1"/>
  <c r="V247" i="1" a="1"/>
  <c r="V247" i="1" s="1"/>
  <c r="W247" i="1" a="1"/>
  <c r="W247" i="1"/>
  <c r="I249" i="1" a="1"/>
  <c r="I249" i="1"/>
  <c r="J249" i="1" a="1"/>
  <c r="J249" i="1" s="1"/>
  <c r="K249" i="1" a="1"/>
  <c r="K249" i="1"/>
  <c r="L249" i="1" a="1"/>
  <c r="L249" i="1" s="1"/>
  <c r="M249" i="1" a="1"/>
  <c r="M249" i="1"/>
  <c r="N249" i="1" a="1"/>
  <c r="N249" i="1"/>
  <c r="O249" i="1" a="1"/>
  <c r="O249" i="1"/>
  <c r="P249" i="1" a="1"/>
  <c r="P249" i="1" s="1"/>
  <c r="Q249" i="1" a="1"/>
  <c r="Q249" i="1"/>
  <c r="R249" i="1" a="1"/>
  <c r="R249" i="1" s="1"/>
  <c r="S249" i="1" a="1"/>
  <c r="S249" i="1"/>
  <c r="T249" i="1" a="1"/>
  <c r="T249" i="1"/>
  <c r="U249" i="1" a="1"/>
  <c r="U249" i="1"/>
  <c r="V249" i="1" a="1"/>
  <c r="V249" i="1"/>
  <c r="W249" i="1" a="1"/>
  <c r="W249" i="1" s="1"/>
  <c r="I251" i="1" a="1"/>
  <c r="I251" i="1"/>
  <c r="J251" i="1" a="1"/>
  <c r="J251" i="1"/>
  <c r="K251" i="1" a="1"/>
  <c r="K251" i="1" s="1"/>
  <c r="L251" i="1" a="1"/>
  <c r="L251" i="1" s="1"/>
  <c r="M251" i="1" a="1"/>
  <c r="M251" i="1"/>
  <c r="N251" i="1" a="1"/>
  <c r="N251" i="1"/>
  <c r="O251" i="1" a="1"/>
  <c r="O251" i="1"/>
  <c r="P251" i="1" a="1"/>
  <c r="P251" i="1"/>
  <c r="Q251" i="1" a="1"/>
  <c r="Q251" i="1" s="1"/>
  <c r="R251" i="1" a="1"/>
  <c r="R251" i="1" s="1"/>
  <c r="S251" i="1" a="1"/>
  <c r="S251" i="1"/>
  <c r="T251" i="1" a="1"/>
  <c r="T251" i="1"/>
  <c r="U251" i="1" a="1"/>
  <c r="U251" i="1"/>
  <c r="V251" i="1" a="1"/>
  <c r="V251" i="1"/>
  <c r="W251" i="1" a="1"/>
  <c r="W251" i="1"/>
  <c r="I253" i="1" a="1"/>
  <c r="I253" i="1"/>
  <c r="J253" i="1" a="1"/>
  <c r="J253" i="1"/>
  <c r="K253" i="1" a="1"/>
  <c r="K253" i="1"/>
  <c r="L253" i="1" a="1"/>
  <c r="L253" i="1" s="1"/>
  <c r="M253" i="1" a="1"/>
  <c r="M253" i="1"/>
  <c r="N253" i="1" a="1"/>
  <c r="N253" i="1"/>
  <c r="O253" i="1" a="1"/>
  <c r="O253" i="1"/>
  <c r="P253" i="1" a="1"/>
  <c r="P253" i="1"/>
  <c r="Q253" i="1" a="1"/>
  <c r="Q253" i="1"/>
  <c r="R253" i="1" a="1"/>
  <c r="R253" i="1" s="1"/>
  <c r="S253" i="1" a="1"/>
  <c r="S253" i="1" s="1"/>
  <c r="T253" i="1" a="1"/>
  <c r="T253" i="1"/>
  <c r="U253" i="1" a="1"/>
  <c r="U253" i="1"/>
  <c r="V253" i="1" a="1"/>
  <c r="V253" i="1"/>
  <c r="W253" i="1" a="1"/>
  <c r="W253" i="1"/>
  <c r="I255" i="1" a="1"/>
  <c r="I255" i="1"/>
  <c r="J255" i="1" a="1"/>
  <c r="J255" i="1"/>
  <c r="K255" i="1" a="1"/>
  <c r="K255" i="1"/>
  <c r="L255" i="1" a="1"/>
  <c r="L255" i="1" s="1"/>
  <c r="M255" i="1" a="1"/>
  <c r="M255" i="1" s="1"/>
  <c r="N255" i="1" a="1"/>
  <c r="N255" i="1"/>
  <c r="O255" i="1" a="1"/>
  <c r="O255" i="1"/>
  <c r="P255" i="1" a="1"/>
  <c r="P255" i="1"/>
  <c r="Q255" i="1" a="1"/>
  <c r="Q255" i="1"/>
  <c r="R255" i="1" a="1"/>
  <c r="R255" i="1" s="1"/>
  <c r="S255" i="1" a="1"/>
  <c r="S255" i="1"/>
  <c r="T255" i="1" a="1"/>
  <c r="T255" i="1" s="1"/>
  <c r="U255" i="1" a="1"/>
  <c r="U255" i="1"/>
  <c r="V255" i="1" a="1"/>
  <c r="V255" i="1"/>
  <c r="W255" i="1" a="1"/>
  <c r="W255" i="1"/>
  <c r="I257" i="1" a="1"/>
  <c r="I257" i="1"/>
  <c r="J257" i="1" a="1"/>
  <c r="J257" i="1"/>
  <c r="K257" i="1" a="1"/>
  <c r="K257" i="1"/>
  <c r="L257" i="1" a="1"/>
  <c r="L257" i="1" s="1"/>
  <c r="M257" i="1" a="1"/>
  <c r="M257" i="1"/>
  <c r="N257" i="1" a="1"/>
  <c r="N257" i="1" s="1"/>
  <c r="O257" i="1" a="1"/>
  <c r="O257" i="1"/>
  <c r="P257" i="1" a="1"/>
  <c r="P257" i="1"/>
  <c r="Q257" i="1" a="1"/>
  <c r="Q257" i="1"/>
  <c r="R257" i="1" a="1"/>
  <c r="R257" i="1" s="1"/>
  <c r="S257" i="1" a="1"/>
  <c r="S257" i="1"/>
  <c r="T257" i="1" a="1"/>
  <c r="T257" i="1"/>
  <c r="U257" i="1" a="1"/>
  <c r="U257" i="1" s="1"/>
  <c r="V257" i="1" a="1"/>
  <c r="V257" i="1"/>
  <c r="W257" i="1" a="1"/>
  <c r="W257" i="1"/>
  <c r="I259" i="1" a="1"/>
  <c r="I259" i="1" s="1"/>
  <c r="J259" i="1" a="1"/>
  <c r="J259" i="1"/>
  <c r="K259" i="1" a="1"/>
  <c r="K259" i="1"/>
  <c r="L259" i="1" a="1"/>
  <c r="L259" i="1" s="1"/>
  <c r="M259" i="1" a="1"/>
  <c r="M259" i="1"/>
  <c r="N259" i="1" a="1"/>
  <c r="N259" i="1"/>
  <c r="O259" i="1" a="1"/>
  <c r="O259" i="1" s="1"/>
  <c r="P259" i="1" a="1"/>
  <c r="P259" i="1"/>
  <c r="Q259" i="1" a="1"/>
  <c r="Q259" i="1"/>
  <c r="R259" i="1" a="1"/>
  <c r="R259" i="1" s="1"/>
  <c r="S259" i="1" a="1"/>
  <c r="S259" i="1"/>
  <c r="T259" i="1" a="1"/>
  <c r="T259" i="1"/>
  <c r="U259" i="1" a="1"/>
  <c r="U259" i="1"/>
  <c r="V259" i="1" a="1"/>
  <c r="V259" i="1" s="1"/>
  <c r="W259" i="1" a="1"/>
  <c r="W259" i="1"/>
  <c r="I261" i="1" a="1"/>
  <c r="I261" i="1"/>
  <c r="J261" i="1" a="1"/>
  <c r="J261" i="1" s="1"/>
  <c r="K261" i="1" a="1"/>
  <c r="K261" i="1"/>
  <c r="L261" i="1" a="1"/>
  <c r="L261" i="1" s="1"/>
  <c r="M261" i="1" a="1"/>
  <c r="M261" i="1"/>
  <c r="N261" i="1" a="1"/>
  <c r="N261" i="1"/>
  <c r="O261" i="1" a="1"/>
  <c r="O261" i="1"/>
  <c r="P261" i="1" a="1"/>
  <c r="P261" i="1" s="1"/>
  <c r="Q261" i="1" a="1"/>
  <c r="Q261" i="1"/>
  <c r="R261" i="1" a="1"/>
  <c r="R261" i="1" s="1"/>
  <c r="S261" i="1" a="1"/>
  <c r="S261" i="1"/>
  <c r="T261" i="1" a="1"/>
  <c r="T261" i="1"/>
  <c r="U261" i="1" a="1"/>
  <c r="U261" i="1"/>
  <c r="V261" i="1" a="1"/>
  <c r="V261" i="1"/>
  <c r="W261" i="1" a="1"/>
  <c r="W261" i="1" s="1"/>
  <c r="I263" i="1" a="1"/>
  <c r="I263" i="1"/>
  <c r="J263" i="1" a="1"/>
  <c r="J263" i="1"/>
  <c r="K263" i="1" a="1"/>
  <c r="K263" i="1" s="1"/>
  <c r="L263" i="1" a="1"/>
  <c r="L263" i="1" s="1"/>
  <c r="M263" i="1" a="1"/>
  <c r="M263" i="1"/>
  <c r="N263" i="1" a="1"/>
  <c r="N263" i="1"/>
  <c r="O263" i="1" a="1"/>
  <c r="O263" i="1"/>
  <c r="P263" i="1" a="1"/>
  <c r="P263" i="1"/>
  <c r="Q263" i="1" a="1"/>
  <c r="Q263" i="1" s="1"/>
  <c r="R263" i="1" a="1"/>
  <c r="R263" i="1" s="1"/>
  <c r="S263" i="1" a="1"/>
  <c r="S263" i="1"/>
  <c r="T263" i="1" a="1"/>
  <c r="T263" i="1"/>
  <c r="U263" i="1" a="1"/>
  <c r="U263" i="1"/>
  <c r="V263" i="1" a="1"/>
  <c r="V263" i="1"/>
  <c r="W263" i="1" a="1"/>
  <c r="W263" i="1"/>
  <c r="I265" i="1" a="1"/>
  <c r="I265" i="1"/>
  <c r="J265" i="1" a="1"/>
  <c r="J265" i="1"/>
  <c r="K265" i="1" a="1"/>
  <c r="K265" i="1"/>
  <c r="L265" i="1" a="1"/>
  <c r="L265" i="1" s="1"/>
  <c r="M265" i="1" a="1"/>
  <c r="M265" i="1"/>
  <c r="N265" i="1" a="1"/>
  <c r="N265" i="1"/>
  <c r="O265" i="1" a="1"/>
  <c r="O265" i="1"/>
  <c r="P265" i="1" a="1"/>
  <c r="P265" i="1"/>
  <c r="Q265" i="1" a="1"/>
  <c r="Q265" i="1"/>
  <c r="R265" i="1" a="1"/>
  <c r="R265" i="1" s="1"/>
  <c r="S265" i="1" a="1"/>
  <c r="S265" i="1" s="1"/>
  <c r="T265" i="1" a="1"/>
  <c r="T265" i="1"/>
  <c r="U265" i="1" a="1"/>
  <c r="U265" i="1"/>
  <c r="V265" i="1" a="1"/>
  <c r="V265" i="1"/>
  <c r="W265" i="1" a="1"/>
  <c r="W265" i="1"/>
  <c r="I267" i="1" a="1"/>
  <c r="I267" i="1"/>
  <c r="J267" i="1" a="1"/>
  <c r="J267" i="1"/>
  <c r="K267" i="1" a="1"/>
  <c r="K267" i="1"/>
  <c r="L267" i="1" a="1"/>
  <c r="L267" i="1" s="1"/>
  <c r="M267" i="1" a="1"/>
  <c r="M267" i="1" s="1"/>
  <c r="N267" i="1" a="1"/>
  <c r="N267" i="1"/>
  <c r="O267" i="1" a="1"/>
  <c r="O267" i="1"/>
  <c r="P267" i="1" a="1"/>
  <c r="P267" i="1"/>
  <c r="Q267" i="1" a="1"/>
  <c r="Q267" i="1"/>
  <c r="R267" i="1" a="1"/>
  <c r="R267" i="1" s="1"/>
  <c r="S267" i="1" a="1"/>
  <c r="S267" i="1"/>
  <c r="T267" i="1" a="1"/>
  <c r="T267" i="1" s="1"/>
  <c r="U267" i="1" a="1"/>
  <c r="U267" i="1"/>
  <c r="V267" i="1" a="1"/>
  <c r="V267" i="1"/>
  <c r="W267" i="1" a="1"/>
  <c r="W267" i="1"/>
  <c r="I269" i="1" a="1"/>
  <c r="I269" i="1"/>
  <c r="J269" i="1" a="1"/>
  <c r="J269" i="1"/>
  <c r="K269" i="1" a="1"/>
  <c r="K269" i="1"/>
  <c r="L269" i="1" a="1"/>
  <c r="L269" i="1" s="1"/>
  <c r="M269" i="1" a="1"/>
  <c r="M269" i="1"/>
  <c r="N269" i="1" a="1"/>
  <c r="N269" i="1" s="1"/>
  <c r="O269" i="1" a="1"/>
  <c r="O269" i="1"/>
  <c r="P269" i="1" a="1"/>
  <c r="P269" i="1"/>
  <c r="Q269" i="1" a="1"/>
  <c r="Q269" i="1"/>
  <c r="R269" i="1" a="1"/>
  <c r="R269" i="1" s="1"/>
  <c r="S269" i="1" a="1"/>
  <c r="S269" i="1"/>
  <c r="T269" i="1" a="1"/>
  <c r="T269" i="1"/>
  <c r="U269" i="1" a="1"/>
  <c r="U269" i="1" s="1"/>
  <c r="V269" i="1" a="1"/>
  <c r="V269" i="1"/>
  <c r="W269" i="1" a="1"/>
  <c r="W269" i="1"/>
  <c r="I271" i="1" a="1"/>
  <c r="I271" i="1" s="1"/>
  <c r="J271" i="1" a="1"/>
  <c r="J271" i="1"/>
  <c r="K271" i="1" a="1"/>
  <c r="K271" i="1"/>
  <c r="L271" i="1" a="1"/>
  <c r="L271" i="1" s="1"/>
  <c r="M271" i="1" a="1"/>
  <c r="M271" i="1"/>
  <c r="N271" i="1" a="1"/>
  <c r="N271" i="1"/>
  <c r="O271" i="1" a="1"/>
  <c r="O271" i="1" s="1"/>
  <c r="P271" i="1" a="1"/>
  <c r="P271" i="1"/>
  <c r="Q271" i="1" a="1"/>
  <c r="Q271" i="1"/>
  <c r="R271" i="1" a="1"/>
  <c r="R271" i="1" s="1"/>
  <c r="S271" i="1" a="1"/>
  <c r="S271" i="1"/>
  <c r="T271" i="1" a="1"/>
  <c r="T271" i="1"/>
  <c r="U271" i="1" a="1"/>
  <c r="U271" i="1"/>
  <c r="V271" i="1" a="1"/>
  <c r="V271" i="1" s="1"/>
  <c r="W271" i="1" a="1"/>
  <c r="W271" i="1"/>
  <c r="I273" i="1" a="1"/>
  <c r="I273" i="1"/>
  <c r="J273" i="1" a="1"/>
  <c r="J273" i="1" s="1"/>
  <c r="K273" i="1" a="1"/>
  <c r="K273" i="1"/>
  <c r="L273" i="1" a="1"/>
  <c r="L273" i="1" s="1"/>
  <c r="M273" i="1" a="1"/>
  <c r="M273" i="1"/>
  <c r="N273" i="1" a="1"/>
  <c r="N273" i="1"/>
  <c r="O273" i="1" a="1"/>
  <c r="O273" i="1"/>
  <c r="P273" i="1" a="1"/>
  <c r="P273" i="1" s="1"/>
  <c r="Q273" i="1" a="1"/>
  <c r="Q273" i="1"/>
  <c r="R273" i="1" a="1"/>
  <c r="R273" i="1" s="1"/>
  <c r="S273" i="1" a="1"/>
  <c r="S273" i="1"/>
  <c r="T273" i="1" a="1"/>
  <c r="T273" i="1"/>
  <c r="U273" i="1" a="1"/>
  <c r="U273" i="1"/>
  <c r="V273" i="1" a="1"/>
  <c r="V273" i="1"/>
  <c r="W273" i="1" a="1"/>
  <c r="W273" i="1" s="1"/>
  <c r="I275" i="1" a="1"/>
  <c r="I275" i="1"/>
  <c r="J275" i="1" a="1"/>
  <c r="J275" i="1"/>
  <c r="K275" i="1" a="1"/>
  <c r="K275" i="1" s="1"/>
  <c r="L275" i="1" a="1"/>
  <c r="L275" i="1" s="1"/>
  <c r="M275" i="1" a="1"/>
  <c r="M275" i="1"/>
  <c r="N275" i="1" a="1"/>
  <c r="N275" i="1"/>
  <c r="O275" i="1" a="1"/>
  <c r="O275" i="1"/>
  <c r="P275" i="1" a="1"/>
  <c r="P275" i="1"/>
  <c r="Q275" i="1" a="1"/>
  <c r="Q275" i="1" s="1"/>
  <c r="R275" i="1" a="1"/>
  <c r="R275" i="1" s="1"/>
  <c r="S275" i="1" a="1"/>
  <c r="S275" i="1"/>
  <c r="T275" i="1" a="1"/>
  <c r="T275" i="1"/>
  <c r="U275" i="1" a="1"/>
  <c r="U275" i="1"/>
  <c r="V275" i="1" a="1"/>
  <c r="V275" i="1"/>
  <c r="W275" i="1" a="1"/>
  <c r="W275" i="1"/>
  <c r="I277" i="1" a="1"/>
  <c r="I277" i="1"/>
  <c r="J277" i="1" a="1"/>
  <c r="J277" i="1"/>
  <c r="K277" i="1" a="1"/>
  <c r="K277" i="1"/>
  <c r="L277" i="1" a="1"/>
  <c r="L277" i="1" s="1"/>
  <c r="M277" i="1" a="1"/>
  <c r="M277" i="1"/>
  <c r="N277" i="1" a="1"/>
  <c r="N277" i="1"/>
  <c r="O277" i="1" a="1"/>
  <c r="O277" i="1"/>
  <c r="P277" i="1" a="1"/>
  <c r="P277" i="1"/>
  <c r="Q277" i="1" a="1"/>
  <c r="Q277" i="1"/>
  <c r="R277" i="1" a="1"/>
  <c r="R277" i="1" s="1"/>
  <c r="S277" i="1" a="1"/>
  <c r="S277" i="1" s="1"/>
  <c r="T277" i="1" a="1"/>
  <c r="T277" i="1"/>
  <c r="U277" i="1" a="1"/>
  <c r="U277" i="1"/>
  <c r="V277" i="1" a="1"/>
  <c r="V277" i="1"/>
  <c r="W277" i="1" a="1"/>
  <c r="W277" i="1"/>
  <c r="I279" i="1" a="1"/>
  <c r="I279" i="1"/>
  <c r="J279" i="1" a="1"/>
  <c r="J279" i="1"/>
  <c r="K279" i="1" a="1"/>
  <c r="K279" i="1"/>
  <c r="L279" i="1" a="1"/>
  <c r="L279" i="1" s="1"/>
  <c r="M279" i="1" a="1"/>
  <c r="M279" i="1" s="1"/>
  <c r="N279" i="1" a="1"/>
  <c r="N279" i="1"/>
  <c r="O279" i="1" a="1"/>
  <c r="O279" i="1"/>
  <c r="P279" i="1" a="1"/>
  <c r="P279" i="1"/>
  <c r="Q279" i="1" a="1"/>
  <c r="Q279" i="1"/>
  <c r="R279" i="1" a="1"/>
  <c r="R279" i="1" s="1"/>
  <c r="S279" i="1" a="1"/>
  <c r="S279" i="1"/>
  <c r="T279" i="1" a="1"/>
  <c r="T279" i="1" s="1"/>
  <c r="U279" i="1" a="1"/>
  <c r="U279" i="1"/>
  <c r="V279" i="1" a="1"/>
  <c r="V279" i="1"/>
  <c r="W279" i="1" a="1"/>
  <c r="W279" i="1"/>
  <c r="I281" i="1" a="1"/>
  <c r="I281" i="1"/>
  <c r="J281" i="1" a="1"/>
  <c r="J281" i="1"/>
  <c r="K281" i="1" a="1"/>
  <c r="K281" i="1"/>
  <c r="L281" i="1" a="1"/>
  <c r="L281" i="1" s="1"/>
  <c r="M281" i="1" a="1"/>
  <c r="M281" i="1"/>
  <c r="N281" i="1" a="1"/>
  <c r="N281" i="1" s="1"/>
  <c r="O281" i="1" a="1"/>
  <c r="O281" i="1"/>
  <c r="P281" i="1" a="1"/>
  <c r="P281" i="1"/>
  <c r="Q281" i="1" a="1"/>
  <c r="Q281" i="1"/>
  <c r="R281" i="1" a="1"/>
  <c r="R281" i="1" s="1"/>
  <c r="S281" i="1" a="1"/>
  <c r="S281" i="1"/>
  <c r="T281" i="1" a="1"/>
  <c r="T281" i="1"/>
  <c r="U281" i="1" a="1"/>
  <c r="U281" i="1" s="1"/>
  <c r="V281" i="1" a="1"/>
  <c r="V281" i="1"/>
  <c r="W281" i="1" a="1"/>
  <c r="W281" i="1"/>
  <c r="I283" i="1" a="1"/>
  <c r="I283" i="1" s="1"/>
  <c r="J283" i="1" a="1"/>
  <c r="J283" i="1"/>
  <c r="K283" i="1" a="1"/>
  <c r="K283" i="1"/>
  <c r="L283" i="1" a="1"/>
  <c r="L283" i="1" s="1"/>
  <c r="M283" i="1" a="1"/>
  <c r="M283" i="1"/>
  <c r="N283" i="1" a="1"/>
  <c r="N283" i="1"/>
  <c r="O283" i="1" a="1"/>
  <c r="O283" i="1" s="1"/>
  <c r="P283" i="1" a="1"/>
  <c r="P283" i="1"/>
  <c r="Q283" i="1" a="1"/>
  <c r="Q283" i="1"/>
  <c r="R283" i="1" a="1"/>
  <c r="R283" i="1" s="1"/>
  <c r="S283" i="1" a="1"/>
  <c r="S283" i="1"/>
  <c r="T283" i="1" a="1"/>
  <c r="T283" i="1"/>
  <c r="U283" i="1" a="1"/>
  <c r="U283" i="1"/>
  <c r="V283" i="1" a="1"/>
  <c r="V283" i="1" s="1"/>
  <c r="W283" i="1" a="1"/>
  <c r="W283" i="1"/>
  <c r="I285" i="1" a="1"/>
  <c r="I285" i="1"/>
  <c r="J285" i="1" a="1"/>
  <c r="J285" i="1" s="1"/>
  <c r="K285" i="1" a="1"/>
  <c r="K285" i="1"/>
  <c r="L285" i="1" a="1"/>
  <c r="L285" i="1" s="1"/>
  <c r="M285" i="1" a="1"/>
  <c r="M285" i="1"/>
  <c r="N285" i="1" a="1"/>
  <c r="N285" i="1"/>
  <c r="O285" i="1" a="1"/>
  <c r="O285" i="1"/>
  <c r="P285" i="1" a="1"/>
  <c r="P285" i="1" s="1"/>
  <c r="Q285" i="1" a="1"/>
  <c r="Q285" i="1"/>
  <c r="R285" i="1" a="1"/>
  <c r="R285" i="1" s="1"/>
  <c r="S285" i="1" a="1"/>
  <c r="S285" i="1"/>
  <c r="T285" i="1" a="1"/>
  <c r="T285" i="1"/>
  <c r="U285" i="1" a="1"/>
  <c r="U285" i="1"/>
  <c r="V285" i="1" a="1"/>
  <c r="V285" i="1"/>
  <c r="W285" i="1" a="1"/>
  <c r="W285" i="1" s="1"/>
  <c r="I287" i="1" a="1"/>
  <c r="I287" i="1"/>
  <c r="J287" i="1" a="1"/>
  <c r="J287" i="1"/>
  <c r="K287" i="1" a="1"/>
  <c r="K287" i="1" s="1"/>
  <c r="L287" i="1" a="1"/>
  <c r="L287" i="1" s="1"/>
  <c r="M287" i="1" a="1"/>
  <c r="M287" i="1"/>
  <c r="N287" i="1" a="1"/>
  <c r="N287" i="1"/>
  <c r="O287" i="1" a="1"/>
  <c r="O287" i="1"/>
  <c r="P287" i="1" a="1"/>
  <c r="P287" i="1"/>
  <c r="Q287" i="1" a="1"/>
  <c r="Q287" i="1" s="1"/>
  <c r="R287" i="1" a="1"/>
  <c r="R287" i="1" s="1"/>
  <c r="S287" i="1" a="1"/>
  <c r="S287" i="1"/>
  <c r="T287" i="1" a="1"/>
  <c r="T287" i="1"/>
  <c r="U287" i="1" a="1"/>
  <c r="U287" i="1"/>
  <c r="V287" i="1" a="1"/>
  <c r="V287" i="1"/>
  <c r="W287" i="1" a="1"/>
  <c r="W287" i="1"/>
  <c r="I289" i="1" a="1"/>
  <c r="I289" i="1"/>
  <c r="J289" i="1" a="1"/>
  <c r="J289" i="1"/>
  <c r="K289" i="1" a="1"/>
  <c r="K289" i="1"/>
  <c r="L289" i="1" a="1"/>
  <c r="L289" i="1" s="1"/>
  <c r="M289" i="1" a="1"/>
  <c r="M289" i="1"/>
  <c r="N289" i="1" a="1"/>
  <c r="N289" i="1"/>
  <c r="O289" i="1" a="1"/>
  <c r="O289" i="1"/>
  <c r="P289" i="1" a="1"/>
  <c r="P289" i="1"/>
  <c r="Q289" i="1" a="1"/>
  <c r="Q289" i="1"/>
  <c r="R289" i="1" a="1"/>
  <c r="R289" i="1" s="1"/>
  <c r="S289" i="1" a="1"/>
  <c r="S289" i="1" s="1"/>
  <c r="T289" i="1" a="1"/>
  <c r="T289" i="1"/>
  <c r="U289" i="1" a="1"/>
  <c r="U289" i="1"/>
  <c r="V289" i="1" a="1"/>
  <c r="V289" i="1"/>
  <c r="W289" i="1" a="1"/>
  <c r="W289" i="1"/>
  <c r="I291" i="1" a="1"/>
  <c r="I291" i="1"/>
  <c r="J291" i="1" a="1"/>
  <c r="J291" i="1"/>
  <c r="K291" i="1" a="1"/>
  <c r="K291" i="1"/>
  <c r="L291" i="1" a="1"/>
  <c r="L291" i="1" s="1"/>
  <c r="M291" i="1" a="1"/>
  <c r="M291" i="1" s="1"/>
  <c r="N291" i="1" a="1"/>
  <c r="N291" i="1"/>
  <c r="O291" i="1" a="1"/>
  <c r="O291" i="1"/>
  <c r="P291" i="1" a="1"/>
  <c r="P291" i="1"/>
  <c r="Q291" i="1" a="1"/>
  <c r="Q291" i="1"/>
  <c r="R291" i="1" a="1"/>
  <c r="R291" i="1" s="1"/>
  <c r="S291" i="1" a="1"/>
  <c r="S291" i="1"/>
  <c r="T291" i="1" a="1"/>
  <c r="T291" i="1" s="1"/>
  <c r="U291" i="1" a="1"/>
  <c r="U291" i="1"/>
  <c r="V291" i="1" a="1"/>
  <c r="V291" i="1"/>
  <c r="W291" i="1" a="1"/>
  <c r="W291" i="1"/>
  <c r="I293" i="1" a="1"/>
  <c r="I293" i="1"/>
  <c r="J293" i="1" a="1"/>
  <c r="J293" i="1"/>
  <c r="K293" i="1" a="1"/>
  <c r="K293" i="1"/>
  <c r="L293" i="1" a="1"/>
  <c r="L293" i="1" s="1"/>
  <c r="M293" i="1" a="1"/>
  <c r="M293" i="1"/>
  <c r="N293" i="1" a="1"/>
  <c r="N293" i="1" s="1"/>
  <c r="O293" i="1" a="1"/>
  <c r="O293" i="1"/>
  <c r="P293" i="1" a="1"/>
  <c r="P293" i="1"/>
  <c r="Q293" i="1" a="1"/>
  <c r="Q293" i="1"/>
  <c r="R293" i="1" a="1"/>
  <c r="R293" i="1" s="1"/>
  <c r="S293" i="1" a="1"/>
  <c r="S293" i="1"/>
  <c r="T293" i="1" a="1"/>
  <c r="T293" i="1"/>
  <c r="U293" i="1" a="1"/>
  <c r="U293" i="1" s="1"/>
  <c r="V293" i="1" a="1"/>
  <c r="V293" i="1"/>
  <c r="W293" i="1" a="1"/>
  <c r="W293" i="1"/>
  <c r="I295" i="1" a="1"/>
  <c r="I295" i="1" s="1"/>
  <c r="J295" i="1" a="1"/>
  <c r="J295" i="1"/>
  <c r="K295" i="1" a="1"/>
  <c r="K295" i="1"/>
  <c r="L295" i="1" a="1"/>
  <c r="L295" i="1" s="1"/>
  <c r="M295" i="1" a="1"/>
  <c r="M295" i="1"/>
  <c r="N295" i="1" a="1"/>
  <c r="N295" i="1"/>
  <c r="O295" i="1" a="1"/>
  <c r="O295" i="1" s="1"/>
  <c r="P295" i="1" a="1"/>
  <c r="P295" i="1"/>
  <c r="Q295" i="1" a="1"/>
  <c r="Q295" i="1"/>
  <c r="R295" i="1" a="1"/>
  <c r="R295" i="1" s="1"/>
  <c r="S295" i="1" a="1"/>
  <c r="S295" i="1"/>
  <c r="T295" i="1" a="1"/>
  <c r="T295" i="1"/>
  <c r="U295" i="1" a="1"/>
  <c r="U295" i="1"/>
  <c r="V295" i="1" a="1"/>
  <c r="V295" i="1" s="1"/>
  <c r="W295" i="1" a="1"/>
  <c r="W295" i="1"/>
  <c r="I297" i="1" a="1"/>
  <c r="I297" i="1"/>
  <c r="J297" i="1" a="1"/>
  <c r="J297" i="1" s="1"/>
  <c r="K297" i="1" a="1"/>
  <c r="K297" i="1"/>
  <c r="L297" i="1" a="1"/>
  <c r="L297" i="1" s="1"/>
  <c r="M297" i="1" a="1"/>
  <c r="M297" i="1"/>
  <c r="N297" i="1" a="1"/>
  <c r="N297" i="1"/>
  <c r="O297" i="1" a="1"/>
  <c r="O297" i="1"/>
  <c r="P297" i="1" a="1"/>
  <c r="P297" i="1" s="1"/>
  <c r="Q297" i="1" a="1"/>
  <c r="Q297" i="1"/>
  <c r="R297" i="1" a="1"/>
  <c r="R297" i="1" s="1"/>
  <c r="S297" i="1" a="1"/>
  <c r="S297" i="1"/>
  <c r="T297" i="1" a="1"/>
  <c r="T297" i="1"/>
  <c r="U297" i="1" a="1"/>
  <c r="U297" i="1"/>
  <c r="V297" i="1" a="1"/>
  <c r="V297" i="1"/>
  <c r="W297" i="1" a="1"/>
  <c r="W297" i="1" s="1"/>
  <c r="I299" i="1" a="1"/>
  <c r="I299" i="1"/>
  <c r="J299" i="1" a="1"/>
  <c r="J299" i="1"/>
  <c r="K299" i="1" a="1"/>
  <c r="K299" i="1" s="1"/>
  <c r="L299" i="1" a="1"/>
  <c r="L299" i="1" s="1"/>
  <c r="M299" i="1" a="1"/>
  <c r="M299" i="1"/>
  <c r="N299" i="1" a="1"/>
  <c r="N299" i="1"/>
  <c r="O299" i="1" a="1"/>
  <c r="O299" i="1"/>
  <c r="P299" i="1" a="1"/>
  <c r="P299" i="1"/>
  <c r="Q299" i="1" a="1"/>
  <c r="Q299" i="1" s="1"/>
  <c r="R299" i="1" a="1"/>
  <c r="R299" i="1" s="1"/>
  <c r="S299" i="1" a="1"/>
  <c r="S299" i="1"/>
  <c r="T299" i="1" a="1"/>
  <c r="T299" i="1"/>
  <c r="U299" i="1" a="1"/>
  <c r="U299" i="1"/>
  <c r="V299" i="1" a="1"/>
  <c r="V299" i="1"/>
  <c r="W299" i="1" a="1"/>
  <c r="W299" i="1"/>
  <c r="I301" i="1" a="1"/>
  <c r="I301" i="1"/>
  <c r="J301" i="1" a="1"/>
  <c r="J301" i="1"/>
  <c r="K301" i="1" a="1"/>
  <c r="K301" i="1"/>
  <c r="L301" i="1" a="1"/>
  <c r="L301" i="1" s="1"/>
  <c r="M301" i="1" a="1"/>
  <c r="M301" i="1"/>
  <c r="N301" i="1" a="1"/>
  <c r="N301" i="1"/>
  <c r="O301" i="1" a="1"/>
  <c r="O301" i="1"/>
  <c r="P301" i="1" a="1"/>
  <c r="P301" i="1"/>
  <c r="Q301" i="1" a="1"/>
  <c r="Q301" i="1"/>
  <c r="R301" i="1" a="1"/>
  <c r="R301" i="1" s="1"/>
  <c r="S301" i="1" a="1"/>
  <c r="S301" i="1" s="1"/>
  <c r="T301" i="1" a="1"/>
  <c r="T301" i="1"/>
  <c r="U301" i="1" a="1"/>
  <c r="U301" i="1"/>
  <c r="V301" i="1" a="1"/>
  <c r="V301" i="1"/>
  <c r="W301" i="1" a="1"/>
  <c r="W301" i="1"/>
  <c r="I303" i="1" a="1"/>
  <c r="I303" i="1"/>
  <c r="J303" i="1" a="1"/>
  <c r="J303" i="1"/>
  <c r="K303" i="1" a="1"/>
  <c r="K303" i="1"/>
  <c r="L303" i="1" a="1"/>
  <c r="L303" i="1" s="1"/>
  <c r="M303" i="1" a="1"/>
  <c r="M303" i="1" s="1"/>
  <c r="N303" i="1" a="1"/>
  <c r="N303" i="1"/>
  <c r="O303" i="1" a="1"/>
  <c r="O303" i="1"/>
  <c r="P303" i="1" a="1"/>
  <c r="P303" i="1"/>
  <c r="Q303" i="1" a="1"/>
  <c r="Q303" i="1"/>
  <c r="R303" i="1" a="1"/>
  <c r="R303" i="1" s="1"/>
  <c r="S303" i="1" a="1"/>
  <c r="S303" i="1"/>
  <c r="T303" i="1" a="1"/>
  <c r="T303" i="1" s="1"/>
  <c r="U303" i="1" a="1"/>
  <c r="U303" i="1"/>
  <c r="V303" i="1" a="1"/>
  <c r="V303" i="1"/>
  <c r="W303" i="1" a="1"/>
  <c r="W303" i="1"/>
  <c r="I305" i="1" a="1"/>
  <c r="I305" i="1"/>
  <c r="J305" i="1" a="1"/>
  <c r="J305" i="1"/>
  <c r="K305" i="1" a="1"/>
  <c r="K305" i="1"/>
  <c r="L305" i="1" a="1"/>
  <c r="L305" i="1" s="1"/>
  <c r="M305" i="1" a="1"/>
  <c r="M305" i="1"/>
  <c r="N305" i="1" a="1"/>
  <c r="N305" i="1" s="1"/>
  <c r="O305" i="1" a="1"/>
  <c r="O305" i="1"/>
  <c r="P305" i="1" a="1"/>
  <c r="P305" i="1"/>
  <c r="Q305" i="1" a="1"/>
  <c r="Q305" i="1"/>
  <c r="R305" i="1" a="1"/>
  <c r="R305" i="1" s="1"/>
  <c r="S305" i="1" a="1"/>
  <c r="S305" i="1"/>
  <c r="T305" i="1" a="1"/>
  <c r="T305" i="1"/>
  <c r="U305" i="1" a="1"/>
  <c r="U305" i="1" s="1"/>
  <c r="V305" i="1" a="1"/>
  <c r="V305" i="1"/>
  <c r="W305" i="1" a="1"/>
  <c r="W305" i="1"/>
  <c r="I307" i="1" a="1"/>
  <c r="I307" i="1" s="1"/>
  <c r="J307" i="1" a="1"/>
  <c r="J307" i="1"/>
  <c r="K307" i="1" a="1"/>
  <c r="K307" i="1"/>
  <c r="L307" i="1" a="1"/>
  <c r="L307" i="1" s="1"/>
  <c r="M307" i="1" a="1"/>
  <c r="M307" i="1"/>
  <c r="N307" i="1" a="1"/>
  <c r="N307" i="1"/>
  <c r="O307" i="1" a="1"/>
  <c r="O307" i="1" s="1"/>
  <c r="P307" i="1" a="1"/>
  <c r="P307" i="1"/>
  <c r="Q307" i="1" a="1"/>
  <c r="Q307" i="1"/>
  <c r="R307" i="1" a="1"/>
  <c r="R307" i="1" s="1"/>
  <c r="S307" i="1" a="1"/>
  <c r="S307" i="1"/>
  <c r="T307" i="1" a="1"/>
  <c r="T307" i="1"/>
  <c r="U307" i="1" a="1"/>
  <c r="U307" i="1"/>
  <c r="V307" i="1" a="1"/>
  <c r="V307" i="1" s="1"/>
  <c r="W307" i="1" a="1"/>
  <c r="W307" i="1"/>
  <c r="I309" i="1" a="1"/>
  <c r="I309" i="1"/>
  <c r="J309" i="1" a="1"/>
  <c r="J309" i="1" s="1"/>
  <c r="K309" i="1" a="1"/>
  <c r="K309" i="1"/>
  <c r="L309" i="1" a="1"/>
  <c r="L309" i="1" s="1"/>
  <c r="M309" i="1" a="1"/>
  <c r="M309" i="1"/>
  <c r="N309" i="1" a="1"/>
  <c r="N309" i="1"/>
  <c r="O309" i="1" a="1"/>
  <c r="O309" i="1"/>
  <c r="P309" i="1" a="1"/>
  <c r="P309" i="1" s="1"/>
  <c r="Q309" i="1" a="1"/>
  <c r="Q309" i="1"/>
  <c r="R309" i="1" a="1"/>
  <c r="R309" i="1" s="1"/>
  <c r="S309" i="1" a="1"/>
  <c r="S309" i="1"/>
  <c r="T309" i="1" a="1"/>
  <c r="T309" i="1"/>
  <c r="U309" i="1" a="1"/>
  <c r="U309" i="1"/>
  <c r="V309" i="1" a="1"/>
  <c r="V309" i="1"/>
  <c r="W309" i="1" a="1"/>
  <c r="W309" i="1" s="1"/>
  <c r="I311" i="1" a="1"/>
  <c r="I311" i="1"/>
  <c r="J311" i="1" a="1"/>
  <c r="J311" i="1"/>
  <c r="K311" i="1" a="1"/>
  <c r="K311" i="1" s="1"/>
  <c r="L311" i="1" a="1"/>
  <c r="L311" i="1" s="1"/>
  <c r="M311" i="1" a="1"/>
  <c r="M311" i="1"/>
  <c r="N311" i="1" a="1"/>
  <c r="N311" i="1"/>
  <c r="O311" i="1" a="1"/>
  <c r="O311" i="1"/>
  <c r="P311" i="1" a="1"/>
  <c r="P311" i="1"/>
  <c r="Q311" i="1" a="1"/>
  <c r="Q311" i="1" s="1"/>
  <c r="R311" i="1" a="1"/>
  <c r="R311" i="1" s="1"/>
  <c r="S311" i="1" a="1"/>
  <c r="S311" i="1"/>
  <c r="T311" i="1" a="1"/>
  <c r="T311" i="1"/>
  <c r="U311" i="1" a="1"/>
  <c r="U311" i="1"/>
  <c r="V311" i="1" a="1"/>
  <c r="V311" i="1"/>
  <c r="W311" i="1" a="1"/>
  <c r="W311" i="1"/>
  <c r="I313" i="1" a="1"/>
  <c r="I313" i="1"/>
  <c r="J313" i="1" a="1"/>
  <c r="J313" i="1"/>
  <c r="K313" i="1" a="1"/>
  <c r="K313" i="1"/>
  <c r="L313" i="1" a="1"/>
  <c r="L313" i="1" s="1"/>
  <c r="M313" i="1" a="1"/>
  <c r="M313" i="1"/>
  <c r="N313" i="1" a="1"/>
  <c r="N313" i="1"/>
  <c r="O313" i="1" a="1"/>
  <c r="O313" i="1"/>
  <c r="P313" i="1" a="1"/>
  <c r="P313" i="1"/>
  <c r="Q313" i="1" a="1"/>
  <c r="Q313" i="1"/>
  <c r="R313" i="1" a="1"/>
  <c r="R313" i="1" s="1"/>
  <c r="S313" i="1" a="1"/>
  <c r="S313" i="1" s="1"/>
  <c r="T313" i="1" a="1"/>
  <c r="T313" i="1"/>
  <c r="U313" i="1" a="1"/>
  <c r="U313" i="1"/>
  <c r="V313" i="1" a="1"/>
  <c r="V313" i="1"/>
  <c r="W313" i="1" a="1"/>
  <c r="W313" i="1"/>
  <c r="I315" i="1" a="1"/>
  <c r="I315" i="1"/>
  <c r="J315" i="1" a="1"/>
  <c r="J315" i="1"/>
  <c r="K315" i="1" a="1"/>
  <c r="K315" i="1"/>
  <c r="L315" i="1" a="1"/>
  <c r="L315" i="1" s="1"/>
  <c r="M315" i="1" a="1"/>
  <c r="M315" i="1" s="1"/>
  <c r="N315" i="1" a="1"/>
  <c r="N315" i="1"/>
  <c r="O315" i="1" a="1"/>
  <c r="O315" i="1"/>
  <c r="P315" i="1" a="1"/>
  <c r="P315" i="1"/>
  <c r="Q315" i="1" a="1"/>
  <c r="Q315" i="1"/>
  <c r="R315" i="1" a="1"/>
  <c r="R315" i="1" s="1"/>
  <c r="S315" i="1" a="1"/>
  <c r="S315" i="1"/>
  <c r="T315" i="1" a="1"/>
  <c r="T315" i="1" s="1"/>
  <c r="U315" i="1" a="1"/>
  <c r="U315" i="1"/>
  <c r="V315" i="1" a="1"/>
  <c r="V315" i="1"/>
  <c r="W315" i="1" a="1"/>
  <c r="W315" i="1"/>
  <c r="I317" i="1" a="1"/>
  <c r="I317" i="1"/>
  <c r="J317" i="1" a="1"/>
  <c r="J317" i="1"/>
  <c r="K317" i="1" a="1"/>
  <c r="K317" i="1"/>
  <c r="L317" i="1" a="1"/>
  <c r="L317" i="1" s="1"/>
  <c r="M317" i="1" a="1"/>
  <c r="M317" i="1"/>
  <c r="N317" i="1" a="1"/>
  <c r="N317" i="1" s="1"/>
  <c r="O317" i="1" a="1"/>
  <c r="O317" i="1"/>
  <c r="P317" i="1" a="1"/>
  <c r="P317" i="1"/>
  <c r="Q317" i="1" a="1"/>
  <c r="Q317" i="1"/>
  <c r="R317" i="1" a="1"/>
  <c r="R317" i="1" s="1"/>
  <c r="S317" i="1" a="1"/>
  <c r="S317" i="1"/>
  <c r="T317" i="1" a="1"/>
  <c r="T317" i="1"/>
  <c r="U317" i="1" a="1"/>
  <c r="U317" i="1" s="1"/>
  <c r="V317" i="1" a="1"/>
  <c r="V317" i="1"/>
  <c r="W317" i="1" a="1"/>
  <c r="W317" i="1"/>
  <c r="I319" i="1" a="1"/>
  <c r="I319" i="1" s="1"/>
  <c r="J319" i="1" a="1"/>
  <c r="J319" i="1"/>
  <c r="K319" i="1" a="1"/>
  <c r="K319" i="1"/>
  <c r="L319" i="1" a="1"/>
  <c r="L319" i="1" s="1"/>
  <c r="M319" i="1" a="1"/>
  <c r="M319" i="1"/>
  <c r="N319" i="1" a="1"/>
  <c r="N319" i="1"/>
  <c r="O319" i="1" a="1"/>
  <c r="O319" i="1" s="1"/>
  <c r="P319" i="1" a="1"/>
  <c r="P319" i="1"/>
  <c r="Q319" i="1" a="1"/>
  <c r="Q319" i="1"/>
  <c r="R319" i="1" a="1"/>
  <c r="R319" i="1" s="1"/>
  <c r="S319" i="1" a="1"/>
  <c r="S319" i="1"/>
  <c r="T319" i="1" a="1"/>
  <c r="T319" i="1"/>
  <c r="U319" i="1" a="1"/>
  <c r="U319" i="1"/>
  <c r="V319" i="1" a="1"/>
  <c r="V319" i="1" s="1"/>
  <c r="W319" i="1" a="1"/>
  <c r="W319" i="1"/>
  <c r="I321" i="1" a="1"/>
  <c r="I321" i="1"/>
  <c r="J321" i="1" a="1"/>
  <c r="J321" i="1" s="1"/>
  <c r="K321" i="1" a="1"/>
  <c r="K321" i="1"/>
  <c r="L321" i="1" a="1"/>
  <c r="L321" i="1" s="1"/>
  <c r="M321" i="1" a="1"/>
  <c r="M321" i="1"/>
  <c r="N321" i="1" a="1"/>
  <c r="N321" i="1"/>
  <c r="O321" i="1" a="1"/>
  <c r="O321" i="1"/>
  <c r="P321" i="1" a="1"/>
  <c r="P321" i="1" s="1"/>
  <c r="Q321" i="1" a="1"/>
  <c r="Q321" i="1"/>
  <c r="R321" i="1" a="1"/>
  <c r="R321" i="1" s="1"/>
  <c r="S321" i="1" a="1"/>
  <c r="S321" i="1"/>
  <c r="T321" i="1" a="1"/>
  <c r="T321" i="1"/>
  <c r="U321" i="1" a="1"/>
  <c r="U321" i="1"/>
  <c r="V321" i="1" a="1"/>
  <c r="V321" i="1"/>
  <c r="W321" i="1" a="1"/>
  <c r="W321" i="1" s="1"/>
  <c r="I323" i="1" a="1"/>
  <c r="I323" i="1"/>
  <c r="J323" i="1" a="1"/>
  <c r="J323" i="1"/>
  <c r="K323" i="1" a="1"/>
  <c r="K323" i="1" s="1"/>
  <c r="L323" i="1" a="1"/>
  <c r="L323" i="1" s="1"/>
  <c r="M323" i="1" a="1"/>
  <c r="M323" i="1"/>
  <c r="N323" i="1" a="1"/>
  <c r="N323" i="1"/>
  <c r="O323" i="1" a="1"/>
  <c r="O323" i="1"/>
  <c r="P323" i="1" a="1"/>
  <c r="P323" i="1"/>
  <c r="Q323" i="1" a="1"/>
  <c r="Q323" i="1" s="1"/>
  <c r="R323" i="1" a="1"/>
  <c r="R323" i="1" s="1"/>
  <c r="S323" i="1" a="1"/>
  <c r="S323" i="1"/>
  <c r="T323" i="1" a="1"/>
  <c r="T323" i="1"/>
  <c r="U323" i="1" a="1"/>
  <c r="U323" i="1"/>
  <c r="V323" i="1" a="1"/>
  <c r="V323" i="1"/>
  <c r="W323" i="1" a="1"/>
  <c r="W323" i="1"/>
  <c r="I325" i="1" a="1"/>
  <c r="I325" i="1"/>
  <c r="J325" i="1" a="1"/>
  <c r="J325" i="1"/>
  <c r="K325" i="1" a="1"/>
  <c r="K325" i="1"/>
  <c r="L325" i="1" a="1"/>
  <c r="L325" i="1" s="1"/>
  <c r="M325" i="1" a="1"/>
  <c r="M325" i="1"/>
  <c r="N325" i="1" a="1"/>
  <c r="N325" i="1"/>
  <c r="O325" i="1" a="1"/>
  <c r="O325" i="1"/>
  <c r="P325" i="1" a="1"/>
  <c r="P325" i="1"/>
  <c r="Q325" i="1" a="1"/>
  <c r="Q325" i="1"/>
  <c r="R325" i="1" a="1"/>
  <c r="R325" i="1" s="1"/>
  <c r="S325" i="1" a="1"/>
  <c r="S325" i="1"/>
  <c r="T325" i="1" a="1"/>
  <c r="T325" i="1"/>
  <c r="U325" i="1" a="1"/>
  <c r="U325" i="1"/>
  <c r="V325" i="1" a="1"/>
  <c r="V325" i="1"/>
  <c r="W325" i="1" a="1"/>
  <c r="W325" i="1"/>
  <c r="I327" i="1" a="1"/>
  <c r="I327" i="1"/>
  <c r="J327" i="1" a="1"/>
  <c r="J327" i="1"/>
  <c r="K327" i="1" a="1"/>
  <c r="K327" i="1"/>
  <c r="L327" i="1" a="1"/>
  <c r="L327" i="1" s="1"/>
  <c r="M327" i="1" a="1"/>
  <c r="M327" i="1"/>
  <c r="N327" i="1" a="1"/>
  <c r="N327" i="1"/>
  <c r="O327" i="1" a="1"/>
  <c r="O327" i="1"/>
  <c r="P327" i="1" a="1"/>
  <c r="P327" i="1"/>
  <c r="Q327" i="1" a="1"/>
  <c r="Q327" i="1"/>
  <c r="R327" i="1" a="1"/>
  <c r="R327" i="1" s="1"/>
  <c r="S327" i="1" a="1"/>
  <c r="S327" i="1"/>
  <c r="T327" i="1" a="1"/>
  <c r="T327" i="1"/>
  <c r="U327" i="1" a="1"/>
  <c r="U327" i="1"/>
  <c r="V327" i="1" a="1"/>
  <c r="V327" i="1"/>
  <c r="W327" i="1" a="1"/>
  <c r="W327" i="1"/>
  <c r="I197" i="1" a="1"/>
  <c r="I197" i="1"/>
  <c r="J197" i="1" a="1"/>
  <c r="J197" i="1"/>
  <c r="K197" i="1" a="1"/>
  <c r="K197" i="1"/>
  <c r="L197" i="1" a="1"/>
  <c r="L197" i="1" s="1"/>
  <c r="M197" i="1" a="1"/>
  <c r="M197" i="1"/>
  <c r="N197" i="1" a="1"/>
  <c r="N197" i="1" s="1"/>
  <c r="O197" i="1" a="1"/>
  <c r="O197" i="1"/>
  <c r="P197" i="1" a="1"/>
  <c r="P197" i="1"/>
  <c r="Q197" i="1" a="1"/>
  <c r="Q197" i="1"/>
  <c r="R197" i="1" a="1"/>
  <c r="R197" i="1" s="1"/>
  <c r="S197" i="1" a="1"/>
  <c r="S197" i="1"/>
  <c r="T197" i="1" a="1"/>
  <c r="T197" i="1" s="1"/>
  <c r="U197" i="1" a="1"/>
  <c r="U197" i="1"/>
  <c r="V197" i="1" a="1"/>
  <c r="V197" i="1"/>
  <c r="W197" i="1" a="1"/>
  <c r="W197" i="1"/>
  <c r="I199" i="1" a="1"/>
  <c r="I199" i="1"/>
  <c r="J199" i="1" a="1"/>
  <c r="J199" i="1"/>
  <c r="K199" i="1" a="1"/>
  <c r="K199" i="1"/>
  <c r="L199" i="1" a="1"/>
  <c r="L199" i="1" s="1"/>
  <c r="M199" i="1" a="1"/>
  <c r="M199" i="1"/>
  <c r="N199" i="1" a="1"/>
  <c r="N199" i="1" s="1"/>
  <c r="O199" i="1" a="1"/>
  <c r="O199" i="1"/>
  <c r="P199" i="1" a="1"/>
  <c r="P199" i="1"/>
  <c r="Q199" i="1" a="1"/>
  <c r="Q199" i="1"/>
  <c r="R199" i="1" a="1"/>
  <c r="R199" i="1" s="1"/>
  <c r="S199" i="1" a="1"/>
  <c r="S199" i="1"/>
  <c r="T199" i="1" a="1"/>
  <c r="T199" i="1" s="1"/>
  <c r="U199" i="1" a="1"/>
  <c r="U199" i="1"/>
  <c r="V199" i="1" a="1"/>
  <c r="V199" i="1"/>
  <c r="W199" i="1" a="1"/>
  <c r="W199" i="1"/>
  <c r="I201" i="1" a="1"/>
  <c r="I201" i="1" s="1"/>
  <c r="J201" i="1" a="1"/>
  <c r="J201" i="1"/>
  <c r="K201" i="1" a="1"/>
  <c r="K201" i="1"/>
  <c r="L201" i="1" a="1"/>
  <c r="L201" i="1" s="1"/>
  <c r="M201" i="1" a="1"/>
  <c r="M201" i="1"/>
  <c r="N201" i="1" a="1"/>
  <c r="N201" i="1" s="1"/>
  <c r="O201" i="1" a="1"/>
  <c r="O201" i="1"/>
  <c r="P201" i="1" a="1"/>
  <c r="P201" i="1"/>
  <c r="Q201" i="1" a="1"/>
  <c r="Q201" i="1"/>
  <c r="R201" i="1" a="1"/>
  <c r="R201" i="1" s="1"/>
  <c r="S201" i="1" a="1"/>
  <c r="S201" i="1"/>
  <c r="T201" i="1" a="1"/>
  <c r="T201" i="1" s="1"/>
  <c r="U201" i="1" a="1"/>
  <c r="U201" i="1"/>
  <c r="V201" i="1" a="1"/>
  <c r="V201" i="1"/>
  <c r="W201" i="1" a="1"/>
  <c r="W201" i="1"/>
  <c r="I203" i="1" a="1"/>
  <c r="I203" i="1"/>
  <c r="J203" i="1" a="1"/>
  <c r="J203" i="1"/>
  <c r="K203" i="1" a="1"/>
  <c r="K203" i="1"/>
  <c r="L203" i="1" a="1"/>
  <c r="L203" i="1" s="1"/>
  <c r="M203" i="1" a="1"/>
  <c r="M203" i="1"/>
  <c r="N203" i="1" a="1"/>
  <c r="N203" i="1" s="1"/>
  <c r="O203" i="1" a="1"/>
  <c r="O203" i="1"/>
  <c r="P203" i="1" a="1"/>
  <c r="P203" i="1"/>
  <c r="Q203" i="1" a="1"/>
  <c r="Q203" i="1"/>
  <c r="R203" i="1" a="1"/>
  <c r="R203" i="1" s="1"/>
  <c r="S203" i="1" a="1"/>
  <c r="S203" i="1"/>
  <c r="T203" i="1" a="1"/>
  <c r="T203" i="1" s="1"/>
  <c r="U203" i="1" a="1"/>
  <c r="U203" i="1"/>
  <c r="V203" i="1" a="1"/>
  <c r="V203" i="1"/>
  <c r="W203" i="1" a="1"/>
  <c r="W203" i="1"/>
  <c r="I205" i="1" a="1"/>
  <c r="I205" i="1"/>
  <c r="J205" i="1" a="1"/>
  <c r="J205" i="1"/>
  <c r="K205" i="1" a="1"/>
  <c r="K205" i="1"/>
  <c r="L205" i="1" a="1"/>
  <c r="L205" i="1" s="1"/>
  <c r="M205" i="1" a="1"/>
  <c r="M205" i="1"/>
  <c r="N205" i="1" a="1"/>
  <c r="N205" i="1" s="1"/>
  <c r="O205" i="1" a="1"/>
  <c r="O205" i="1"/>
  <c r="P205" i="1" a="1"/>
  <c r="P205" i="1"/>
  <c r="Q205" i="1" a="1"/>
  <c r="Q205" i="1"/>
  <c r="R205" i="1" a="1"/>
  <c r="R205" i="1" s="1"/>
  <c r="S205" i="1" a="1"/>
  <c r="S205" i="1"/>
  <c r="T205" i="1" a="1"/>
  <c r="T205" i="1" s="1"/>
  <c r="U205" i="1" a="1"/>
  <c r="U205" i="1"/>
  <c r="V205" i="1" a="1"/>
  <c r="V205" i="1"/>
  <c r="W205" i="1" a="1"/>
  <c r="W205" i="1"/>
  <c r="I207" i="1" a="1"/>
  <c r="I207" i="1"/>
  <c r="J207" i="1" a="1"/>
  <c r="J207" i="1"/>
  <c r="K207" i="1" a="1"/>
  <c r="K207" i="1"/>
  <c r="L207" i="1" a="1"/>
  <c r="L207" i="1" s="1"/>
  <c r="M207" i="1" a="1"/>
  <c r="M207" i="1"/>
  <c r="N207" i="1" a="1"/>
  <c r="N207" i="1" s="1"/>
  <c r="O207" i="1" a="1"/>
  <c r="O207" i="1"/>
  <c r="P207" i="1" a="1"/>
  <c r="P207" i="1"/>
  <c r="Q207" i="1" a="1"/>
  <c r="Q207" i="1"/>
  <c r="R207" i="1" a="1"/>
  <c r="R207" i="1" s="1"/>
  <c r="S207" i="1" a="1"/>
  <c r="S207" i="1"/>
  <c r="T207" i="1" a="1"/>
  <c r="T207" i="1" s="1"/>
  <c r="U207" i="1" a="1"/>
  <c r="U207" i="1"/>
  <c r="V207" i="1" a="1"/>
  <c r="V207" i="1"/>
  <c r="W207" i="1" a="1"/>
  <c r="W207" i="1"/>
  <c r="I209" i="1" a="1"/>
  <c r="I209" i="1"/>
  <c r="J209" i="1" a="1"/>
  <c r="J209" i="1"/>
  <c r="K209" i="1" a="1"/>
  <c r="K209" i="1"/>
  <c r="L209" i="1" a="1"/>
  <c r="L209" i="1" s="1"/>
  <c r="M209" i="1" a="1"/>
  <c r="M209" i="1"/>
  <c r="N209" i="1" a="1"/>
  <c r="N209" i="1" s="1"/>
  <c r="O209" i="1" a="1"/>
  <c r="O209" i="1"/>
  <c r="P209" i="1" a="1"/>
  <c r="P209" i="1"/>
  <c r="Q209" i="1" a="1"/>
  <c r="Q209" i="1"/>
  <c r="R209" i="1" a="1"/>
  <c r="R209" i="1" s="1"/>
  <c r="S209" i="1" a="1"/>
  <c r="S209" i="1"/>
  <c r="T209" i="1" a="1"/>
  <c r="T209" i="1" s="1"/>
  <c r="U209" i="1" a="1"/>
  <c r="U209" i="1"/>
  <c r="V209" i="1" a="1"/>
  <c r="V209" i="1"/>
  <c r="W209" i="1" a="1"/>
  <c r="W209" i="1"/>
  <c r="I211" i="1" a="1"/>
  <c r="I211" i="1"/>
  <c r="J211" i="1" a="1"/>
  <c r="J211" i="1"/>
  <c r="K211" i="1" a="1"/>
  <c r="K211" i="1"/>
  <c r="L211" i="1" a="1"/>
  <c r="L211" i="1" s="1"/>
  <c r="M211" i="1" a="1"/>
  <c r="M211" i="1"/>
  <c r="N211" i="1" a="1"/>
  <c r="N211" i="1" s="1"/>
  <c r="O211" i="1" a="1"/>
  <c r="O211" i="1"/>
  <c r="P211" i="1" a="1"/>
  <c r="P211" i="1"/>
  <c r="Q211" i="1" a="1"/>
  <c r="Q211" i="1"/>
  <c r="R211" i="1" a="1"/>
  <c r="R211" i="1" s="1"/>
  <c r="S211" i="1" a="1"/>
  <c r="S211" i="1"/>
  <c r="T211" i="1" a="1"/>
  <c r="T211" i="1" s="1"/>
  <c r="U211" i="1" a="1"/>
  <c r="U211" i="1"/>
  <c r="V211" i="1" a="1"/>
  <c r="V211" i="1"/>
  <c r="W211" i="1" a="1"/>
  <c r="W211" i="1"/>
  <c r="I213" i="1" a="1"/>
  <c r="I213" i="1"/>
  <c r="J213" i="1" a="1"/>
  <c r="J213" i="1"/>
  <c r="K213" i="1" a="1"/>
  <c r="K213" i="1"/>
  <c r="L213" i="1" a="1"/>
  <c r="L213" i="1" s="1"/>
  <c r="M213" i="1" a="1"/>
  <c r="M213" i="1"/>
  <c r="N213" i="1" a="1"/>
  <c r="N213" i="1" s="1"/>
  <c r="O213" i="1" a="1"/>
  <c r="O213" i="1"/>
  <c r="P213" i="1" a="1"/>
  <c r="P213" i="1"/>
  <c r="Q213" i="1" a="1"/>
  <c r="Q213" i="1"/>
  <c r="R213" i="1" a="1"/>
  <c r="R213" i="1" s="1"/>
  <c r="S213" i="1" a="1"/>
  <c r="S213" i="1"/>
  <c r="T213" i="1" a="1"/>
  <c r="T213" i="1" s="1"/>
  <c r="U213" i="1" a="1"/>
  <c r="U213" i="1"/>
  <c r="V213" i="1" a="1"/>
  <c r="V213" i="1"/>
  <c r="W213" i="1" a="1"/>
  <c r="W213" i="1"/>
  <c r="I215" i="1" a="1"/>
  <c r="I215" i="1"/>
  <c r="J215" i="1" a="1"/>
  <c r="J215" i="1"/>
  <c r="K215" i="1" a="1"/>
  <c r="K215" i="1"/>
  <c r="L215" i="1" a="1"/>
  <c r="L215" i="1" s="1"/>
  <c r="M215" i="1" a="1"/>
  <c r="M215" i="1"/>
  <c r="N215" i="1" a="1"/>
  <c r="N215" i="1" s="1"/>
  <c r="O215" i="1" a="1"/>
  <c r="O215" i="1"/>
  <c r="P215" i="1" a="1"/>
  <c r="P215" i="1"/>
  <c r="Q215" i="1" a="1"/>
  <c r="Q215" i="1"/>
  <c r="R215" i="1" a="1"/>
  <c r="R215" i="1" s="1"/>
  <c r="S215" i="1" a="1"/>
  <c r="S215" i="1"/>
  <c r="T215" i="1" a="1"/>
  <c r="T215" i="1" s="1"/>
  <c r="U215" i="1" a="1"/>
  <c r="U215" i="1"/>
  <c r="V215" i="1" a="1"/>
  <c r="V215" i="1"/>
  <c r="W215" i="1" a="1"/>
  <c r="W215" i="1"/>
  <c r="I217" i="1" a="1"/>
  <c r="I217" i="1"/>
  <c r="J217" i="1" a="1"/>
  <c r="J217" i="1"/>
  <c r="K217" i="1" a="1"/>
  <c r="K217" i="1"/>
  <c r="L217" i="1" a="1"/>
  <c r="L217" i="1" s="1"/>
  <c r="M217" i="1" a="1"/>
  <c r="M217" i="1"/>
  <c r="N217" i="1" a="1"/>
  <c r="N217" i="1" s="1"/>
  <c r="O217" i="1" a="1"/>
  <c r="O217" i="1"/>
  <c r="P217" i="1" a="1"/>
  <c r="P217" i="1"/>
  <c r="Q217" i="1" a="1"/>
  <c r="Q217" i="1"/>
  <c r="R217" i="1" a="1"/>
  <c r="R217" i="1" s="1"/>
  <c r="S217" i="1" a="1"/>
  <c r="S217" i="1"/>
  <c r="T217" i="1" a="1"/>
  <c r="T217" i="1" s="1"/>
  <c r="U217" i="1" a="1"/>
  <c r="U217" i="1"/>
  <c r="V217" i="1" a="1"/>
  <c r="V217" i="1"/>
  <c r="W217" i="1" a="1"/>
  <c r="W217" i="1"/>
  <c r="I219" i="1" a="1"/>
  <c r="I219" i="1"/>
  <c r="J219" i="1" a="1"/>
  <c r="J219" i="1"/>
  <c r="K219" i="1" a="1"/>
  <c r="K219" i="1"/>
  <c r="L219" i="1" a="1"/>
  <c r="L219" i="1" s="1"/>
  <c r="M219" i="1" a="1"/>
  <c r="M219" i="1"/>
  <c r="N219" i="1" a="1"/>
  <c r="N219" i="1" s="1"/>
  <c r="O219" i="1" a="1"/>
  <c r="O219" i="1"/>
  <c r="P219" i="1" a="1"/>
  <c r="P219" i="1"/>
  <c r="Q219" i="1" a="1"/>
  <c r="Q219" i="1"/>
  <c r="R219" i="1" a="1"/>
  <c r="R219" i="1" s="1"/>
  <c r="S219" i="1" a="1"/>
  <c r="S219" i="1"/>
  <c r="T219" i="1" a="1"/>
  <c r="T219" i="1" s="1"/>
  <c r="U219" i="1" a="1"/>
  <c r="U219" i="1"/>
  <c r="V219" i="1" a="1"/>
  <c r="V219" i="1"/>
  <c r="W219" i="1" a="1"/>
  <c r="W219" i="1"/>
  <c r="I221" i="1" a="1"/>
  <c r="I221" i="1"/>
  <c r="J221" i="1" a="1"/>
  <c r="J221" i="1"/>
  <c r="K221" i="1" a="1"/>
  <c r="K221" i="1"/>
  <c r="L221" i="1" a="1"/>
  <c r="L221" i="1" s="1"/>
  <c r="M221" i="1" a="1"/>
  <c r="M221" i="1"/>
  <c r="N221" i="1" a="1"/>
  <c r="N221" i="1" s="1"/>
  <c r="O221" i="1" a="1"/>
  <c r="O221" i="1"/>
  <c r="P221" i="1" a="1"/>
  <c r="P221" i="1"/>
  <c r="Q221" i="1" a="1"/>
  <c r="Q221" i="1"/>
  <c r="R221" i="1" a="1"/>
  <c r="R221" i="1" s="1"/>
  <c r="S221" i="1" a="1"/>
  <c r="S221" i="1"/>
  <c r="T221" i="1" a="1"/>
  <c r="T221" i="1" s="1"/>
  <c r="U221" i="1" a="1"/>
  <c r="U221" i="1"/>
  <c r="V221" i="1" a="1"/>
  <c r="V221" i="1"/>
  <c r="W221" i="1" a="1"/>
  <c r="W221" i="1"/>
  <c r="I223" i="1" a="1"/>
  <c r="I223" i="1"/>
  <c r="J223" i="1" a="1"/>
  <c r="J223" i="1"/>
  <c r="K223" i="1" a="1"/>
  <c r="K223" i="1"/>
  <c r="L223" i="1" a="1"/>
  <c r="L223" i="1" s="1"/>
  <c r="M223" i="1" a="1"/>
  <c r="M223" i="1"/>
  <c r="N223" i="1" a="1"/>
  <c r="N223" i="1" s="1"/>
  <c r="O223" i="1" a="1"/>
  <c r="O223" i="1"/>
  <c r="P223" i="1" a="1"/>
  <c r="P223" i="1"/>
  <c r="Q223" i="1" a="1"/>
  <c r="Q223" i="1"/>
  <c r="R223" i="1" a="1"/>
  <c r="R223" i="1" s="1"/>
  <c r="S223" i="1" a="1"/>
  <c r="S223" i="1"/>
  <c r="T223" i="1" a="1"/>
  <c r="T223" i="1" s="1"/>
  <c r="U223" i="1" a="1"/>
  <c r="U223" i="1"/>
  <c r="V223" i="1" a="1"/>
  <c r="V223" i="1"/>
  <c r="W223" i="1" a="1"/>
  <c r="W223" i="1"/>
  <c r="I225" i="1" a="1"/>
  <c r="I225" i="1"/>
  <c r="J225" i="1" a="1"/>
  <c r="J225" i="1"/>
  <c r="K225" i="1" a="1"/>
  <c r="K225" i="1"/>
  <c r="L225" i="1" a="1"/>
  <c r="L225" i="1" s="1"/>
  <c r="M225" i="1" a="1"/>
  <c r="M225" i="1"/>
  <c r="N225" i="1" a="1"/>
  <c r="N225" i="1" s="1"/>
  <c r="O225" i="1" a="1"/>
  <c r="O225" i="1"/>
  <c r="P225" i="1" a="1"/>
  <c r="P225" i="1"/>
  <c r="Q225" i="1" a="1"/>
  <c r="Q225" i="1"/>
  <c r="R225" i="1" a="1"/>
  <c r="R225" i="1" s="1"/>
  <c r="S225" i="1" a="1"/>
  <c r="S225" i="1"/>
  <c r="T225" i="1" a="1"/>
  <c r="T225" i="1" s="1"/>
  <c r="U225" i="1" a="1"/>
  <c r="U225" i="1"/>
  <c r="V225" i="1" a="1"/>
  <c r="V225" i="1"/>
  <c r="W225" i="1" a="1"/>
  <c r="W225" i="1"/>
  <c r="I227" i="1" a="1"/>
  <c r="I227" i="1"/>
  <c r="J227" i="1" a="1"/>
  <c r="J227" i="1"/>
  <c r="K227" i="1" a="1"/>
  <c r="K227" i="1"/>
  <c r="L227" i="1" a="1"/>
  <c r="L227" i="1" s="1"/>
  <c r="M227" i="1" a="1"/>
  <c r="M227" i="1"/>
  <c r="N227" i="1" a="1"/>
  <c r="N227" i="1" s="1"/>
  <c r="O227" i="1" a="1"/>
  <c r="O227" i="1"/>
  <c r="P227" i="1" a="1"/>
  <c r="P227" i="1"/>
  <c r="Q227" i="1" a="1"/>
  <c r="Q227" i="1"/>
  <c r="R227" i="1" a="1"/>
  <c r="R227" i="1" s="1"/>
  <c r="S227" i="1" a="1"/>
  <c r="S227" i="1"/>
  <c r="T227" i="1" a="1"/>
  <c r="T227" i="1" s="1"/>
  <c r="U227" i="1" a="1"/>
  <c r="U227" i="1"/>
  <c r="V227" i="1" a="1"/>
  <c r="V227" i="1"/>
  <c r="W227" i="1" a="1"/>
  <c r="W227" i="1"/>
  <c r="I229" i="1" a="1"/>
  <c r="I229" i="1"/>
  <c r="J229" i="1" a="1"/>
  <c r="J229" i="1"/>
  <c r="K229" i="1" a="1"/>
  <c r="K229" i="1"/>
  <c r="L229" i="1" a="1"/>
  <c r="L229" i="1" s="1"/>
  <c r="M229" i="1" a="1"/>
  <c r="M229" i="1"/>
  <c r="N229" i="1" a="1"/>
  <c r="N229" i="1" s="1"/>
  <c r="O229" i="1" a="1"/>
  <c r="O229" i="1"/>
  <c r="P229" i="1" a="1"/>
  <c r="P229" i="1"/>
  <c r="Q229" i="1" a="1"/>
  <c r="Q229" i="1"/>
  <c r="R229" i="1" a="1"/>
  <c r="R229" i="1" s="1"/>
  <c r="S229" i="1" a="1"/>
  <c r="S229" i="1"/>
  <c r="T229" i="1" a="1"/>
  <c r="T229" i="1" s="1"/>
  <c r="U229" i="1" a="1"/>
  <c r="U229" i="1"/>
  <c r="V229" i="1" a="1"/>
  <c r="V229" i="1"/>
  <c r="W229" i="1" a="1"/>
  <c r="W229" i="1"/>
  <c r="I231" i="1" a="1"/>
  <c r="I231" i="1"/>
  <c r="J231" i="1" a="1"/>
  <c r="J231" i="1"/>
  <c r="K231" i="1" a="1"/>
  <c r="K231" i="1"/>
  <c r="L231" i="1" a="1"/>
  <c r="L231" i="1" s="1"/>
  <c r="M231" i="1" a="1"/>
  <c r="M231" i="1"/>
  <c r="N231" i="1" a="1"/>
  <c r="N231" i="1" s="1"/>
  <c r="O231" i="1" a="1"/>
  <c r="O231" i="1"/>
  <c r="P231" i="1" a="1"/>
  <c r="P231" i="1"/>
  <c r="Q231" i="1" a="1"/>
  <c r="Q231" i="1"/>
  <c r="R231" i="1" a="1"/>
  <c r="R231" i="1" s="1"/>
  <c r="S231" i="1" a="1"/>
  <c r="S231" i="1"/>
  <c r="T231" i="1" a="1"/>
  <c r="T231" i="1" s="1"/>
  <c r="U231" i="1" a="1"/>
  <c r="U231" i="1"/>
  <c r="V231" i="1" a="1"/>
  <c r="V231" i="1"/>
  <c r="W231" i="1" a="1"/>
  <c r="W231" i="1"/>
  <c r="I233" i="1" a="1"/>
  <c r="I233" i="1"/>
  <c r="J233" i="1" a="1"/>
  <c r="J233" i="1"/>
  <c r="K233" i="1" a="1"/>
  <c r="K233" i="1"/>
  <c r="L233" i="1" a="1"/>
  <c r="L233" i="1" s="1"/>
  <c r="M233" i="1" a="1"/>
  <c r="M233" i="1"/>
  <c r="N233" i="1" a="1"/>
  <c r="N233" i="1" s="1"/>
  <c r="O233" i="1" a="1"/>
  <c r="O233" i="1"/>
  <c r="P233" i="1" a="1"/>
  <c r="P233" i="1"/>
  <c r="Q233" i="1" a="1"/>
  <c r="Q233" i="1"/>
  <c r="R233" i="1" a="1"/>
  <c r="R233" i="1" s="1"/>
  <c r="S233" i="1" a="1"/>
  <c r="S233" i="1"/>
  <c r="T233" i="1" a="1"/>
  <c r="T233" i="1" s="1"/>
  <c r="U233" i="1" a="1"/>
  <c r="U233" i="1"/>
  <c r="V233" i="1" a="1"/>
  <c r="V233" i="1"/>
  <c r="W233" i="1" a="1"/>
  <c r="W233" i="1"/>
  <c r="I235" i="1" a="1"/>
  <c r="I235" i="1"/>
  <c r="J235" i="1" a="1"/>
  <c r="J235" i="1"/>
  <c r="K235" i="1" a="1"/>
  <c r="K235" i="1"/>
  <c r="L235" i="1" a="1"/>
  <c r="L235" i="1" s="1"/>
  <c r="M235" i="1" a="1"/>
  <c r="M235" i="1"/>
  <c r="N235" i="1" a="1"/>
  <c r="N235" i="1" s="1"/>
  <c r="O235" i="1" a="1"/>
  <c r="O235" i="1"/>
  <c r="P235" i="1" a="1"/>
  <c r="P235" i="1"/>
  <c r="Q235" i="1" a="1"/>
  <c r="Q235" i="1"/>
  <c r="R235" i="1" a="1"/>
  <c r="R235" i="1" s="1"/>
  <c r="S235" i="1" a="1"/>
  <c r="S235" i="1"/>
  <c r="T235" i="1" a="1"/>
  <c r="T235" i="1" s="1"/>
  <c r="U235" i="1" a="1"/>
  <c r="U235" i="1"/>
  <c r="V235" i="1" a="1"/>
  <c r="V235" i="1"/>
  <c r="W235" i="1" a="1"/>
  <c r="W235" i="1"/>
  <c r="I237" i="1" a="1"/>
  <c r="I237" i="1"/>
  <c r="J237" i="1" a="1"/>
  <c r="J237" i="1"/>
  <c r="K237" i="1" a="1"/>
  <c r="K237" i="1"/>
  <c r="L237" i="1" a="1"/>
  <c r="L237" i="1" s="1"/>
  <c r="M237" i="1" a="1"/>
  <c r="M237" i="1" s="1"/>
  <c r="N237" i="1" a="1"/>
  <c r="N237" i="1" s="1"/>
  <c r="O237" i="1" a="1"/>
  <c r="O237" i="1"/>
  <c r="P237" i="1" a="1"/>
  <c r="P237" i="1"/>
  <c r="Q237" i="1" a="1"/>
  <c r="Q237" i="1"/>
  <c r="R237" i="1" a="1"/>
  <c r="R237" i="1" s="1"/>
  <c r="S237" i="1" a="1"/>
  <c r="S237" i="1" s="1"/>
  <c r="T237" i="1" a="1"/>
  <c r="T237" i="1" s="1"/>
  <c r="U237" i="1" a="1"/>
  <c r="U237" i="1"/>
  <c r="V237" i="1" a="1"/>
  <c r="V237" i="1"/>
  <c r="W237" i="1" a="1"/>
  <c r="W237" i="1"/>
  <c r="I239" i="1" a="1"/>
  <c r="I239" i="1"/>
  <c r="J239" i="1" a="1"/>
  <c r="J239" i="1"/>
  <c r="K239" i="1" a="1"/>
  <c r="K239" i="1"/>
  <c r="L239" i="1" a="1"/>
  <c r="L239" i="1" s="1"/>
  <c r="M239" i="1" a="1"/>
  <c r="M239" i="1" s="1"/>
  <c r="N239" i="1" a="1"/>
  <c r="N239" i="1" s="1"/>
  <c r="O239" i="1" a="1"/>
  <c r="O239" i="1"/>
  <c r="P239" i="1" a="1"/>
  <c r="P239" i="1"/>
  <c r="Q239" i="1" a="1"/>
  <c r="Q239" i="1"/>
  <c r="R239" i="1" a="1"/>
  <c r="R239" i="1" s="1"/>
  <c r="S239" i="1" a="1"/>
  <c r="S239" i="1" s="1"/>
  <c r="T239" i="1" a="1"/>
  <c r="T239" i="1" s="1"/>
  <c r="U239" i="1" a="1"/>
  <c r="U239" i="1"/>
  <c r="V239" i="1" a="1"/>
  <c r="V239" i="1"/>
  <c r="W239" i="1" a="1"/>
  <c r="W239" i="1"/>
  <c r="I175" i="1" a="1"/>
  <c r="I175" i="1"/>
  <c r="J175" i="1" a="1"/>
  <c r="J175" i="1" s="1"/>
  <c r="K175" i="1" a="1"/>
  <c r="K175" i="1"/>
  <c r="L175" i="1" a="1"/>
  <c r="L175" i="1" s="1"/>
  <c r="M175" i="1" a="1"/>
  <c r="M175" i="1"/>
  <c r="N175" i="1" a="1"/>
  <c r="N175" i="1" s="1"/>
  <c r="O175" i="1" a="1"/>
  <c r="O175" i="1"/>
  <c r="P175" i="1" a="1"/>
  <c r="P175" i="1" s="1"/>
  <c r="Q175" i="1" a="1"/>
  <c r="Q175" i="1"/>
  <c r="R175" i="1" a="1"/>
  <c r="R175" i="1" s="1"/>
  <c r="S175" i="1" a="1"/>
  <c r="S175" i="1"/>
  <c r="T175" i="1" a="1"/>
  <c r="T175" i="1" s="1"/>
  <c r="U175" i="1" a="1"/>
  <c r="U175" i="1"/>
  <c r="V175" i="1" a="1"/>
  <c r="V175" i="1" s="1"/>
  <c r="W175" i="1" a="1"/>
  <c r="W175" i="1"/>
  <c r="I177" i="1" a="1"/>
  <c r="I177" i="1"/>
  <c r="J177" i="1" a="1"/>
  <c r="J177" i="1" s="1"/>
  <c r="K177" i="1" a="1"/>
  <c r="K177" i="1"/>
  <c r="L177" i="1" a="1"/>
  <c r="L177" i="1" s="1"/>
  <c r="M177" i="1" a="1"/>
  <c r="M177" i="1"/>
  <c r="N177" i="1" a="1"/>
  <c r="N177" i="1" s="1"/>
  <c r="O177" i="1" a="1"/>
  <c r="O177" i="1"/>
  <c r="P177" i="1" a="1"/>
  <c r="P177" i="1" s="1"/>
  <c r="Q177" i="1" a="1"/>
  <c r="Q177" i="1"/>
  <c r="R177" i="1" a="1"/>
  <c r="R177" i="1" s="1"/>
  <c r="S177" i="1" a="1"/>
  <c r="S177" i="1"/>
  <c r="T177" i="1" a="1"/>
  <c r="T177" i="1" s="1"/>
  <c r="U177" i="1" a="1"/>
  <c r="U177" i="1"/>
  <c r="V177" i="1" a="1"/>
  <c r="V177" i="1" s="1"/>
  <c r="W177" i="1" a="1"/>
  <c r="W177" i="1"/>
  <c r="I179" i="1" a="1"/>
  <c r="I179" i="1"/>
  <c r="J179" i="1" a="1"/>
  <c r="J179" i="1" s="1"/>
  <c r="K179" i="1" a="1"/>
  <c r="K179" i="1"/>
  <c r="L179" i="1" a="1"/>
  <c r="L179" i="1" s="1"/>
  <c r="M179" i="1" a="1"/>
  <c r="M179" i="1"/>
  <c r="N179" i="1" a="1"/>
  <c r="N179" i="1" s="1"/>
  <c r="O179" i="1" a="1"/>
  <c r="O179" i="1"/>
  <c r="P179" i="1" a="1"/>
  <c r="P179" i="1" s="1"/>
  <c r="Q179" i="1" a="1"/>
  <c r="Q179" i="1"/>
  <c r="R179" i="1" a="1"/>
  <c r="R179" i="1" s="1"/>
  <c r="S179" i="1" a="1"/>
  <c r="S179" i="1" s="1"/>
  <c r="T179" i="1" a="1"/>
  <c r="T179" i="1" s="1"/>
  <c r="U179" i="1" a="1"/>
  <c r="U179" i="1"/>
  <c r="V179" i="1" a="1"/>
  <c r="V179" i="1" s="1"/>
  <c r="W179" i="1" a="1"/>
  <c r="W179" i="1"/>
  <c r="I181" i="1" a="1"/>
  <c r="I181" i="1"/>
  <c r="J181" i="1" a="1"/>
  <c r="J181" i="1" s="1"/>
  <c r="K181" i="1" a="1"/>
  <c r="K181" i="1"/>
  <c r="L181" i="1" a="1"/>
  <c r="L181" i="1" s="1"/>
  <c r="M181" i="1" a="1"/>
  <c r="M181" i="1" s="1"/>
  <c r="N181" i="1" a="1"/>
  <c r="N181" i="1" s="1"/>
  <c r="O181" i="1" a="1"/>
  <c r="O181" i="1"/>
  <c r="P181" i="1" a="1"/>
  <c r="P181" i="1" s="1"/>
  <c r="Q181" i="1" a="1"/>
  <c r="Q181" i="1"/>
  <c r="R181" i="1" a="1"/>
  <c r="R181" i="1" s="1"/>
  <c r="S181" i="1" a="1"/>
  <c r="S181" i="1" s="1"/>
  <c r="T181" i="1" a="1"/>
  <c r="T181" i="1" s="1"/>
  <c r="U181" i="1" a="1"/>
  <c r="U181" i="1"/>
  <c r="V181" i="1" a="1"/>
  <c r="V181" i="1" s="1"/>
  <c r="W181" i="1" a="1"/>
  <c r="W181" i="1"/>
  <c r="I183" i="1" a="1"/>
  <c r="I183" i="1"/>
  <c r="J183" i="1" a="1"/>
  <c r="J183" i="1" s="1"/>
  <c r="K183" i="1" a="1"/>
  <c r="K183" i="1"/>
  <c r="L183" i="1" a="1"/>
  <c r="L183" i="1" s="1"/>
  <c r="M183" i="1" a="1"/>
  <c r="M183" i="1" s="1"/>
  <c r="N183" i="1" a="1"/>
  <c r="N183" i="1" s="1"/>
  <c r="O183" i="1" a="1"/>
  <c r="O183" i="1"/>
  <c r="P183" i="1" a="1"/>
  <c r="P183" i="1" s="1"/>
  <c r="Q183" i="1" a="1"/>
  <c r="Q183" i="1"/>
  <c r="R183" i="1" a="1"/>
  <c r="R183" i="1" s="1"/>
  <c r="S183" i="1" a="1"/>
  <c r="S183" i="1" s="1"/>
  <c r="T183" i="1" a="1"/>
  <c r="T183" i="1" s="1"/>
  <c r="U183" i="1" a="1"/>
  <c r="U183" i="1"/>
  <c r="V183" i="1" a="1"/>
  <c r="V183" i="1" s="1"/>
  <c r="W183" i="1" a="1"/>
  <c r="W183" i="1"/>
  <c r="I185" i="1" a="1"/>
  <c r="I185" i="1"/>
  <c r="J185" i="1" a="1"/>
  <c r="J185" i="1" s="1"/>
  <c r="K185" i="1" a="1"/>
  <c r="K185" i="1"/>
  <c r="L185" i="1" a="1"/>
  <c r="L185" i="1" s="1"/>
  <c r="M185" i="1" a="1"/>
  <c r="M185" i="1" s="1"/>
  <c r="N185" i="1" a="1"/>
  <c r="N185" i="1" s="1"/>
  <c r="O185" i="1" a="1"/>
  <c r="O185" i="1"/>
  <c r="P185" i="1" a="1"/>
  <c r="P185" i="1" s="1"/>
  <c r="Q185" i="1" a="1"/>
  <c r="Q185" i="1"/>
  <c r="R185" i="1" a="1"/>
  <c r="R185" i="1" s="1"/>
  <c r="S185" i="1" a="1"/>
  <c r="S185" i="1" s="1"/>
  <c r="T185" i="1" a="1"/>
  <c r="T185" i="1" s="1"/>
  <c r="U185" i="1" a="1"/>
  <c r="U185" i="1"/>
  <c r="V185" i="1" a="1"/>
  <c r="V185" i="1" s="1"/>
  <c r="W185" i="1" a="1"/>
  <c r="W185" i="1"/>
  <c r="I187" i="1" a="1"/>
  <c r="I187" i="1"/>
  <c r="J187" i="1" a="1"/>
  <c r="J187" i="1" s="1"/>
  <c r="K187" i="1" a="1"/>
  <c r="K187" i="1"/>
  <c r="L187" i="1" a="1"/>
  <c r="L187" i="1" s="1"/>
  <c r="M187" i="1" a="1"/>
  <c r="M187" i="1" s="1"/>
  <c r="N187" i="1" a="1"/>
  <c r="N187" i="1" s="1"/>
  <c r="O187" i="1" a="1"/>
  <c r="O187" i="1"/>
  <c r="P187" i="1" a="1"/>
  <c r="P187" i="1" s="1"/>
  <c r="Q187" i="1" a="1"/>
  <c r="Q187" i="1"/>
  <c r="R187" i="1" a="1"/>
  <c r="R187" i="1" s="1"/>
  <c r="S187" i="1" a="1"/>
  <c r="S187" i="1" s="1"/>
  <c r="T187" i="1" a="1"/>
  <c r="T187" i="1" s="1"/>
  <c r="U187" i="1" a="1"/>
  <c r="U187" i="1"/>
  <c r="V187" i="1" a="1"/>
  <c r="V187" i="1" s="1"/>
  <c r="W187" i="1" a="1"/>
  <c r="W187" i="1"/>
  <c r="I189" i="1" a="1"/>
  <c r="I189" i="1"/>
  <c r="J189" i="1" a="1"/>
  <c r="J189" i="1" s="1"/>
  <c r="K189" i="1" a="1"/>
  <c r="K189" i="1"/>
  <c r="L189" i="1" a="1"/>
  <c r="L189" i="1" s="1"/>
  <c r="M189" i="1" a="1"/>
  <c r="M189" i="1" s="1"/>
  <c r="N189" i="1" a="1"/>
  <c r="N189" i="1" s="1"/>
  <c r="O189" i="1" a="1"/>
  <c r="O189" i="1"/>
  <c r="P189" i="1" a="1"/>
  <c r="P189" i="1" s="1"/>
  <c r="Q189" i="1" a="1"/>
  <c r="Q189" i="1"/>
  <c r="R189" i="1" a="1"/>
  <c r="R189" i="1" s="1"/>
  <c r="S189" i="1" a="1"/>
  <c r="S189" i="1" s="1"/>
  <c r="T189" i="1" a="1"/>
  <c r="T189" i="1" s="1"/>
  <c r="U189" i="1" a="1"/>
  <c r="U189" i="1"/>
  <c r="V189" i="1" a="1"/>
  <c r="V189" i="1" s="1"/>
  <c r="W189" i="1" a="1"/>
  <c r="W189" i="1"/>
  <c r="I191" i="1" a="1"/>
  <c r="I191" i="1"/>
  <c r="J191" i="1" a="1"/>
  <c r="J191" i="1" s="1"/>
  <c r="K191" i="1" a="1"/>
  <c r="K191" i="1"/>
  <c r="L191" i="1" a="1"/>
  <c r="L191" i="1" s="1"/>
  <c r="M191" i="1" a="1"/>
  <c r="M191" i="1" s="1"/>
  <c r="N191" i="1" a="1"/>
  <c r="N191" i="1" s="1"/>
  <c r="O191" i="1" a="1"/>
  <c r="O191" i="1"/>
  <c r="P191" i="1" a="1"/>
  <c r="P191" i="1" s="1"/>
  <c r="Q191" i="1" a="1"/>
  <c r="Q191" i="1"/>
  <c r="R191" i="1" a="1"/>
  <c r="R191" i="1" s="1"/>
  <c r="S191" i="1" a="1"/>
  <c r="S191" i="1" s="1"/>
  <c r="T191" i="1" a="1"/>
  <c r="T191" i="1" s="1"/>
  <c r="U191" i="1" a="1"/>
  <c r="U191" i="1"/>
  <c r="V191" i="1" a="1"/>
  <c r="V191" i="1" s="1"/>
  <c r="W191" i="1" a="1"/>
  <c r="W191" i="1"/>
  <c r="I193" i="1" a="1"/>
  <c r="I193" i="1"/>
  <c r="J193" i="1" a="1"/>
  <c r="J193" i="1" s="1"/>
  <c r="K193" i="1" a="1"/>
  <c r="K193" i="1"/>
  <c r="L193" i="1" a="1"/>
  <c r="L193" i="1" s="1"/>
  <c r="M193" i="1" a="1"/>
  <c r="M193" i="1" s="1"/>
  <c r="N193" i="1" a="1"/>
  <c r="N193" i="1" s="1"/>
  <c r="O193" i="1" a="1"/>
  <c r="O193" i="1"/>
  <c r="P193" i="1" a="1"/>
  <c r="P193" i="1" s="1"/>
  <c r="Q193" i="1" a="1"/>
  <c r="Q193" i="1"/>
  <c r="R193" i="1" a="1"/>
  <c r="R193" i="1" s="1"/>
  <c r="S193" i="1" a="1"/>
  <c r="S193" i="1" s="1"/>
  <c r="T193" i="1" a="1"/>
  <c r="T193" i="1" s="1"/>
  <c r="U193" i="1" a="1"/>
  <c r="U193" i="1"/>
  <c r="V193" i="1" a="1"/>
  <c r="V193" i="1" s="1"/>
  <c r="W193" i="1" a="1"/>
  <c r="W193" i="1"/>
  <c r="I195" i="1" a="1"/>
  <c r="I195" i="1"/>
  <c r="J195" i="1" a="1"/>
  <c r="J195" i="1" s="1"/>
  <c r="K195" i="1" a="1"/>
  <c r="K195" i="1"/>
  <c r="L195" i="1" a="1"/>
  <c r="L195" i="1" s="1"/>
  <c r="M195" i="1" a="1"/>
  <c r="M195" i="1" s="1"/>
  <c r="N195" i="1" a="1"/>
  <c r="N195" i="1" s="1"/>
  <c r="O195" i="1" a="1"/>
  <c r="O195" i="1"/>
  <c r="P195" i="1" a="1"/>
  <c r="P195" i="1" s="1"/>
  <c r="Q195" i="1" a="1"/>
  <c r="Q195" i="1"/>
  <c r="R195" i="1" a="1"/>
  <c r="R195" i="1" s="1"/>
  <c r="S195" i="1" a="1"/>
  <c r="S195" i="1" s="1"/>
  <c r="T195" i="1" a="1"/>
  <c r="T195" i="1" s="1"/>
  <c r="U195" i="1" a="1"/>
  <c r="U195" i="1"/>
  <c r="V195" i="1" a="1"/>
  <c r="V195" i="1" s="1"/>
  <c r="W195" i="1" a="1"/>
  <c r="W195" i="1"/>
  <c r="I155" i="1" a="1"/>
  <c r="I155" i="1"/>
  <c r="J155" i="1" a="1"/>
  <c r="J155" i="1"/>
  <c r="K155" i="1" a="1"/>
  <c r="K155" i="1"/>
  <c r="L155" i="1" a="1"/>
  <c r="L155" i="1"/>
  <c r="M155" i="1" a="1"/>
  <c r="M155" i="1"/>
  <c r="N155" i="1" a="1"/>
  <c r="N155" i="1"/>
  <c r="O155" i="1" a="1"/>
  <c r="O155" i="1"/>
  <c r="P155" i="1" a="1"/>
  <c r="P155" i="1"/>
  <c r="Q155" i="1" a="1"/>
  <c r="Q155" i="1"/>
  <c r="R155" i="1" a="1"/>
  <c r="R155" i="1"/>
  <c r="S155" i="1" a="1"/>
  <c r="S155" i="1"/>
  <c r="T155" i="1" a="1"/>
  <c r="T155" i="1"/>
  <c r="U155" i="1" a="1"/>
  <c r="U155" i="1"/>
  <c r="V155" i="1" a="1"/>
  <c r="V155" i="1"/>
  <c r="W155" i="1" a="1"/>
  <c r="W155" i="1"/>
  <c r="I157" i="1" a="1"/>
  <c r="I157" i="1"/>
  <c r="J157" i="1" a="1"/>
  <c r="J157" i="1"/>
  <c r="K157" i="1" a="1"/>
  <c r="K157" i="1"/>
  <c r="L157" i="1" a="1"/>
  <c r="L157" i="1"/>
  <c r="M157" i="1" a="1"/>
  <c r="M157" i="1"/>
  <c r="N157" i="1" a="1"/>
  <c r="N157" i="1"/>
  <c r="O157" i="1" a="1"/>
  <c r="O157" i="1"/>
  <c r="P157" i="1" a="1"/>
  <c r="P157" i="1"/>
  <c r="Q157" i="1" a="1"/>
  <c r="Q157" i="1"/>
  <c r="R157" i="1" a="1"/>
  <c r="R157" i="1"/>
  <c r="S157" i="1" a="1"/>
  <c r="S157" i="1"/>
  <c r="T157" i="1" a="1"/>
  <c r="T157" i="1"/>
  <c r="U157" i="1" a="1"/>
  <c r="U157" i="1"/>
  <c r="V157" i="1" a="1"/>
  <c r="V157" i="1"/>
  <c r="W157" i="1" a="1"/>
  <c r="W157" i="1"/>
  <c r="I159" i="1" a="1"/>
  <c r="I159" i="1"/>
  <c r="J159" i="1" a="1"/>
  <c r="J159" i="1"/>
  <c r="K159" i="1" a="1"/>
  <c r="K159" i="1"/>
  <c r="L159" i="1" a="1"/>
  <c r="L159" i="1"/>
  <c r="M159" i="1" a="1"/>
  <c r="M159" i="1"/>
  <c r="N159" i="1" a="1"/>
  <c r="N159" i="1"/>
  <c r="O159" i="1" a="1"/>
  <c r="O159" i="1"/>
  <c r="P159" i="1" a="1"/>
  <c r="P159" i="1"/>
  <c r="Q159" i="1" a="1"/>
  <c r="Q159" i="1"/>
  <c r="R159" i="1" a="1"/>
  <c r="R159" i="1"/>
  <c r="S159" i="1" a="1"/>
  <c r="S159" i="1"/>
  <c r="T159" i="1" a="1"/>
  <c r="T159" i="1"/>
  <c r="U159" i="1" a="1"/>
  <c r="U159" i="1"/>
  <c r="V159" i="1" a="1"/>
  <c r="V159" i="1"/>
  <c r="W159" i="1" a="1"/>
  <c r="W159" i="1"/>
  <c r="I161" i="1" a="1"/>
  <c r="I161" i="1"/>
  <c r="J161" i="1" a="1"/>
  <c r="J161" i="1"/>
  <c r="K161" i="1" a="1"/>
  <c r="K161" i="1"/>
  <c r="L161" i="1" a="1"/>
  <c r="L161" i="1"/>
  <c r="M161" i="1" a="1"/>
  <c r="M161" i="1"/>
  <c r="N161" i="1" a="1"/>
  <c r="N161" i="1"/>
  <c r="O161" i="1" a="1"/>
  <c r="O161" i="1"/>
  <c r="P161" i="1" a="1"/>
  <c r="P161" i="1"/>
  <c r="Q161" i="1" a="1"/>
  <c r="Q161" i="1"/>
  <c r="R161" i="1" a="1"/>
  <c r="R161" i="1"/>
  <c r="S161" i="1" a="1"/>
  <c r="S161" i="1"/>
  <c r="T161" i="1" a="1"/>
  <c r="T161" i="1"/>
  <c r="U161" i="1" a="1"/>
  <c r="U161" i="1"/>
  <c r="V161" i="1" a="1"/>
  <c r="V161" i="1"/>
  <c r="W161" i="1" a="1"/>
  <c r="W161" i="1"/>
  <c r="I163" i="1" a="1"/>
  <c r="I163" i="1"/>
  <c r="J163" i="1" a="1"/>
  <c r="J163" i="1"/>
  <c r="K163" i="1" a="1"/>
  <c r="K163" i="1"/>
  <c r="L163" i="1" a="1"/>
  <c r="L163" i="1"/>
  <c r="M163" i="1" a="1"/>
  <c r="M163" i="1"/>
  <c r="N163" i="1" a="1"/>
  <c r="N163" i="1"/>
  <c r="O163" i="1" a="1"/>
  <c r="O163" i="1"/>
  <c r="P163" i="1" a="1"/>
  <c r="P163" i="1"/>
  <c r="Q163" i="1" a="1"/>
  <c r="Q163" i="1"/>
  <c r="R163" i="1" a="1"/>
  <c r="R163" i="1"/>
  <c r="S163" i="1" a="1"/>
  <c r="S163" i="1"/>
  <c r="T163" i="1" a="1"/>
  <c r="T163" i="1"/>
  <c r="U163" i="1" a="1"/>
  <c r="U163" i="1"/>
  <c r="V163" i="1" a="1"/>
  <c r="V163" i="1"/>
  <c r="W163" i="1" a="1"/>
  <c r="W163" i="1"/>
  <c r="I165" i="1" a="1"/>
  <c r="I165" i="1"/>
  <c r="J165" i="1" a="1"/>
  <c r="J165" i="1"/>
  <c r="K165" i="1" a="1"/>
  <c r="K165" i="1"/>
  <c r="L165" i="1" a="1"/>
  <c r="L165" i="1"/>
  <c r="M165" i="1" a="1"/>
  <c r="M165" i="1"/>
  <c r="N165" i="1" a="1"/>
  <c r="N165" i="1"/>
  <c r="O165" i="1" a="1"/>
  <c r="O165" i="1"/>
  <c r="P165" i="1" a="1"/>
  <c r="P165" i="1"/>
  <c r="Q165" i="1" a="1"/>
  <c r="Q165" i="1"/>
  <c r="R165" i="1" a="1"/>
  <c r="R165" i="1"/>
  <c r="S165" i="1" a="1"/>
  <c r="S165" i="1"/>
  <c r="T165" i="1" a="1"/>
  <c r="T165" i="1"/>
  <c r="U165" i="1" a="1"/>
  <c r="U165" i="1"/>
  <c r="V165" i="1" a="1"/>
  <c r="V165" i="1"/>
  <c r="W165" i="1" a="1"/>
  <c r="W165" i="1"/>
  <c r="I167" i="1" a="1"/>
  <c r="I167" i="1"/>
  <c r="J167" i="1" a="1"/>
  <c r="J167" i="1"/>
  <c r="K167" i="1" a="1"/>
  <c r="K167" i="1"/>
  <c r="L167" i="1" a="1"/>
  <c r="L167" i="1"/>
  <c r="M167" i="1" a="1"/>
  <c r="M167" i="1"/>
  <c r="N167" i="1" a="1"/>
  <c r="N167" i="1"/>
  <c r="O167" i="1" a="1"/>
  <c r="O167" i="1"/>
  <c r="P167" i="1" a="1"/>
  <c r="P167" i="1"/>
  <c r="Q167" i="1" a="1"/>
  <c r="Q167" i="1"/>
  <c r="R167" i="1" a="1"/>
  <c r="R167" i="1"/>
  <c r="S167" i="1" a="1"/>
  <c r="S167" i="1"/>
  <c r="T167" i="1" a="1"/>
  <c r="T167" i="1"/>
  <c r="U167" i="1" a="1"/>
  <c r="U167" i="1"/>
  <c r="V167" i="1" a="1"/>
  <c r="V167" i="1"/>
  <c r="W167" i="1" a="1"/>
  <c r="W167" i="1"/>
  <c r="I169" i="1" a="1"/>
  <c r="I169" i="1"/>
  <c r="J169" i="1" a="1"/>
  <c r="J169" i="1"/>
  <c r="K169" i="1" a="1"/>
  <c r="K169" i="1"/>
  <c r="L169" i="1" a="1"/>
  <c r="L169" i="1"/>
  <c r="M169" i="1" a="1"/>
  <c r="M169" i="1"/>
  <c r="N169" i="1" a="1"/>
  <c r="N169" i="1"/>
  <c r="O169" i="1" a="1"/>
  <c r="O169" i="1"/>
  <c r="P169" i="1" a="1"/>
  <c r="P169" i="1"/>
  <c r="Q169" i="1" a="1"/>
  <c r="Q169" i="1"/>
  <c r="R169" i="1" a="1"/>
  <c r="R169" i="1"/>
  <c r="S169" i="1" a="1"/>
  <c r="S169" i="1"/>
  <c r="T169" i="1" a="1"/>
  <c r="T169" i="1"/>
  <c r="U169" i="1" a="1"/>
  <c r="U169" i="1"/>
  <c r="V169" i="1" a="1"/>
  <c r="V169" i="1"/>
  <c r="W169" i="1" a="1"/>
  <c r="W169" i="1"/>
  <c r="I171" i="1" a="1"/>
  <c r="I171" i="1"/>
  <c r="J171" i="1" a="1"/>
  <c r="J171" i="1"/>
  <c r="K171" i="1" a="1"/>
  <c r="K171" i="1"/>
  <c r="L171" i="1" a="1"/>
  <c r="L171" i="1"/>
  <c r="M171" i="1" a="1"/>
  <c r="M171" i="1"/>
  <c r="N171" i="1" a="1"/>
  <c r="N171" i="1"/>
  <c r="O171" i="1" a="1"/>
  <c r="O171" i="1"/>
  <c r="P171" i="1" a="1"/>
  <c r="P171" i="1"/>
  <c r="Q171" i="1" a="1"/>
  <c r="Q171" i="1"/>
  <c r="R171" i="1" a="1"/>
  <c r="R171" i="1"/>
  <c r="S171" i="1" a="1"/>
  <c r="S171" i="1"/>
  <c r="T171" i="1" a="1"/>
  <c r="T171" i="1"/>
  <c r="U171" i="1" a="1"/>
  <c r="U171" i="1"/>
  <c r="V171" i="1" a="1"/>
  <c r="V171" i="1"/>
  <c r="W171" i="1" a="1"/>
  <c r="W171" i="1"/>
  <c r="I173" i="1" a="1"/>
  <c r="I173" i="1"/>
  <c r="J173" i="1" a="1"/>
  <c r="J173" i="1"/>
  <c r="K173" i="1" a="1"/>
  <c r="K173" i="1"/>
  <c r="L173" i="1" a="1"/>
  <c r="L173" i="1"/>
  <c r="M173" i="1" a="1"/>
  <c r="M173" i="1"/>
  <c r="N173" i="1" a="1"/>
  <c r="N173" i="1"/>
  <c r="O173" i="1" a="1"/>
  <c r="O173" i="1"/>
  <c r="P173" i="1" a="1"/>
  <c r="P173" i="1"/>
  <c r="Q173" i="1" a="1"/>
  <c r="Q173" i="1"/>
  <c r="R173" i="1" a="1"/>
  <c r="R173" i="1"/>
  <c r="S173" i="1" a="1"/>
  <c r="S173" i="1"/>
  <c r="T173" i="1" a="1"/>
  <c r="T173" i="1"/>
  <c r="U173" i="1" a="1"/>
  <c r="U173" i="1"/>
  <c r="V173" i="1" a="1"/>
  <c r="V173" i="1"/>
  <c r="W173" i="1" a="1"/>
  <c r="W173" i="1"/>
  <c r="I153" i="1" a="1"/>
  <c r="I153" i="1"/>
  <c r="J153" i="1" a="1"/>
  <c r="J153" i="1" s="1"/>
  <c r="K153" i="1" a="1"/>
  <c r="K153" i="1"/>
  <c r="L153" i="1" a="1"/>
  <c r="L153" i="1"/>
  <c r="M153" i="1" a="1"/>
  <c r="M153" i="1"/>
  <c r="N153" i="1" a="1"/>
  <c r="N153" i="1" s="1"/>
  <c r="O153" i="1" a="1"/>
  <c r="O153" i="1"/>
  <c r="P153" i="1" a="1"/>
  <c r="P153" i="1" s="1"/>
  <c r="Q153" i="1" a="1"/>
  <c r="Q153" i="1"/>
  <c r="R153" i="1" a="1"/>
  <c r="R153" i="1"/>
  <c r="S153" i="1" a="1"/>
  <c r="S153" i="1"/>
  <c r="T153" i="1" a="1"/>
  <c r="T153" i="1" s="1"/>
  <c r="U153" i="1" a="1"/>
  <c r="U153" i="1" s="1"/>
  <c r="V153" i="1" a="1"/>
  <c r="V153" i="1" s="1"/>
  <c r="W153" i="1" a="1"/>
  <c r="W153" i="1"/>
  <c r="J137" i="1" a="1"/>
  <c r="J137" i="1"/>
  <c r="K137" i="1" a="1"/>
  <c r="K137" i="1"/>
  <c r="L137" i="1" a="1"/>
  <c r="L137" i="1"/>
  <c r="M137" i="1" a="1"/>
  <c r="M137" i="1" s="1"/>
  <c r="N137" i="1" a="1"/>
  <c r="N137" i="1"/>
  <c r="O137" i="1" a="1"/>
  <c r="O137" i="1"/>
  <c r="P137" i="1" a="1"/>
  <c r="P137" i="1"/>
  <c r="Q137" i="1" a="1"/>
  <c r="Q137" i="1"/>
  <c r="R137" i="1" a="1"/>
  <c r="R137" i="1"/>
  <c r="S137" i="1" a="1"/>
  <c r="S137" i="1" s="1"/>
  <c r="T137" i="1" a="1"/>
  <c r="T137" i="1"/>
  <c r="U137" i="1" a="1"/>
  <c r="U137" i="1"/>
  <c r="V137" i="1" a="1"/>
  <c r="V137" i="1"/>
  <c r="W137" i="1" a="1"/>
  <c r="W137" i="1"/>
  <c r="J139" i="1" a="1"/>
  <c r="J139" i="1"/>
  <c r="K139" i="1" a="1"/>
  <c r="K139" i="1"/>
  <c r="L139" i="1" a="1"/>
  <c r="L139" i="1"/>
  <c r="M139" i="1" a="1"/>
  <c r="M139" i="1"/>
  <c r="N139" i="1" a="1"/>
  <c r="N139" i="1" s="1"/>
  <c r="O139" i="1" a="1"/>
  <c r="O139" i="1"/>
  <c r="P139" i="1" a="1"/>
  <c r="P139" i="1"/>
  <c r="Q139" i="1" a="1"/>
  <c r="Q139" i="1"/>
  <c r="R139" i="1" a="1"/>
  <c r="R139" i="1"/>
  <c r="S139" i="1" a="1"/>
  <c r="S139" i="1"/>
  <c r="T139" i="1" a="1"/>
  <c r="T139" i="1" s="1"/>
  <c r="U139" i="1" a="1"/>
  <c r="U139" i="1"/>
  <c r="V139" i="1" a="1"/>
  <c r="V139" i="1"/>
  <c r="W139" i="1" a="1"/>
  <c r="W139" i="1"/>
  <c r="J141" i="1" a="1"/>
  <c r="J141" i="1"/>
  <c r="K141" i="1" a="1"/>
  <c r="K141" i="1"/>
  <c r="L141" i="1" a="1"/>
  <c r="L141" i="1"/>
  <c r="M141" i="1" a="1"/>
  <c r="M141" i="1"/>
  <c r="N141" i="1" a="1"/>
  <c r="N141" i="1"/>
  <c r="O141" i="1" a="1"/>
  <c r="O141" i="1" s="1"/>
  <c r="P141" i="1" a="1"/>
  <c r="P141" i="1"/>
  <c r="Q141" i="1" a="1"/>
  <c r="Q141" i="1"/>
  <c r="R141" i="1" a="1"/>
  <c r="R141" i="1"/>
  <c r="S141" i="1" a="1"/>
  <c r="S141" i="1"/>
  <c r="T141" i="1" a="1"/>
  <c r="T141" i="1"/>
  <c r="U141" i="1" a="1"/>
  <c r="U141" i="1" s="1"/>
  <c r="V141" i="1" a="1"/>
  <c r="V141" i="1"/>
  <c r="W141" i="1" a="1"/>
  <c r="W141" i="1"/>
  <c r="J143" i="1" a="1"/>
  <c r="J143" i="1" s="1"/>
  <c r="K143" i="1" a="1"/>
  <c r="K143" i="1"/>
  <c r="L143" i="1" a="1"/>
  <c r="L143" i="1"/>
  <c r="M143" i="1" a="1"/>
  <c r="M143" i="1"/>
  <c r="N143" i="1" a="1"/>
  <c r="N143" i="1"/>
  <c r="O143" i="1" a="1"/>
  <c r="O143" i="1"/>
  <c r="P143" i="1" a="1"/>
  <c r="P143" i="1" s="1"/>
  <c r="Q143" i="1" a="1"/>
  <c r="Q143" i="1"/>
  <c r="R143" i="1" a="1"/>
  <c r="R143" i="1"/>
  <c r="S143" i="1" a="1"/>
  <c r="S143" i="1"/>
  <c r="T143" i="1" a="1"/>
  <c r="T143" i="1"/>
  <c r="U143" i="1" a="1"/>
  <c r="U143" i="1"/>
  <c r="V143" i="1" a="1"/>
  <c r="V143" i="1" s="1"/>
  <c r="W143" i="1" a="1"/>
  <c r="W143" i="1"/>
  <c r="J145" i="1" a="1"/>
  <c r="J145" i="1"/>
  <c r="K145" i="1" a="1"/>
  <c r="K145" i="1" s="1"/>
  <c r="L145" i="1" a="1"/>
  <c r="L145" i="1"/>
  <c r="M145" i="1" a="1"/>
  <c r="M145" i="1"/>
  <c r="N145" i="1" a="1"/>
  <c r="N145" i="1"/>
  <c r="O145" i="1" a="1"/>
  <c r="O145" i="1"/>
  <c r="P145" i="1" a="1"/>
  <c r="P145" i="1"/>
  <c r="Q145" i="1" a="1"/>
  <c r="Q145" i="1" s="1"/>
  <c r="R145" i="1" a="1"/>
  <c r="R145" i="1"/>
  <c r="S145" i="1" a="1"/>
  <c r="S145" i="1"/>
  <c r="T145" i="1" a="1"/>
  <c r="T145" i="1"/>
  <c r="U145" i="1" a="1"/>
  <c r="U145" i="1"/>
  <c r="V145" i="1" a="1"/>
  <c r="V145" i="1"/>
  <c r="W145" i="1" a="1"/>
  <c r="W145" i="1" s="1"/>
  <c r="J147" i="1" a="1"/>
  <c r="J147" i="1"/>
  <c r="K147" i="1" a="1"/>
  <c r="K147" i="1"/>
  <c r="L147" i="1" a="1"/>
  <c r="L147" i="1" s="1"/>
  <c r="M147" i="1" a="1"/>
  <c r="M147" i="1"/>
  <c r="N147" i="1" a="1"/>
  <c r="N147" i="1"/>
  <c r="O147" i="1" a="1"/>
  <c r="O147" i="1"/>
  <c r="P147" i="1" a="1"/>
  <c r="P147" i="1"/>
  <c r="Q147" i="1" a="1"/>
  <c r="Q147" i="1"/>
  <c r="R147" i="1" a="1"/>
  <c r="R147" i="1" s="1"/>
  <c r="S147" i="1" a="1"/>
  <c r="S147" i="1"/>
  <c r="T147" i="1" a="1"/>
  <c r="T147" i="1"/>
  <c r="U147" i="1" a="1"/>
  <c r="U147" i="1"/>
  <c r="V147" i="1" a="1"/>
  <c r="V147" i="1"/>
  <c r="W147" i="1" a="1"/>
  <c r="W147" i="1"/>
  <c r="J149" i="1" a="1"/>
  <c r="J149" i="1"/>
  <c r="K149" i="1" a="1"/>
  <c r="K149" i="1"/>
  <c r="L149" i="1" a="1"/>
  <c r="L149" i="1"/>
  <c r="M149" i="1" a="1"/>
  <c r="M149" i="1" s="1"/>
  <c r="N149" i="1" a="1"/>
  <c r="N149" i="1"/>
  <c r="O149" i="1" a="1"/>
  <c r="O149" i="1"/>
  <c r="P149" i="1" a="1"/>
  <c r="P149" i="1"/>
  <c r="Q149" i="1" a="1"/>
  <c r="Q149" i="1"/>
  <c r="R149" i="1" a="1"/>
  <c r="R149" i="1"/>
  <c r="S149" i="1" a="1"/>
  <c r="S149" i="1" s="1"/>
  <c r="T149" i="1" a="1"/>
  <c r="T149" i="1"/>
  <c r="U149" i="1" a="1"/>
  <c r="U149" i="1"/>
  <c r="V149" i="1" a="1"/>
  <c r="V149" i="1"/>
  <c r="W149" i="1" a="1"/>
  <c r="W149" i="1"/>
  <c r="J151" i="1" a="1"/>
  <c r="J151" i="1"/>
  <c r="K151" i="1" a="1"/>
  <c r="K151" i="1"/>
  <c r="L151" i="1" a="1"/>
  <c r="L151" i="1"/>
  <c r="M151" i="1" a="1"/>
  <c r="M151" i="1"/>
  <c r="N151" i="1" a="1"/>
  <c r="N151" i="1" s="1"/>
  <c r="O151" i="1" a="1"/>
  <c r="O151" i="1"/>
  <c r="P151" i="1" a="1"/>
  <c r="P151" i="1"/>
  <c r="Q151" i="1" a="1"/>
  <c r="Q151" i="1"/>
  <c r="R151" i="1" a="1"/>
  <c r="R151" i="1"/>
  <c r="S151" i="1" a="1"/>
  <c r="S151" i="1"/>
  <c r="T151" i="1" a="1"/>
  <c r="T151" i="1" s="1"/>
  <c r="U151" i="1" a="1"/>
  <c r="U151" i="1"/>
  <c r="V151" i="1" a="1"/>
  <c r="V151" i="1"/>
  <c r="W151" i="1" a="1"/>
  <c r="W151" i="1"/>
  <c r="J131" i="1" a="1"/>
  <c r="J131" i="1"/>
  <c r="K131" i="1" a="1"/>
  <c r="K131" i="1"/>
  <c r="L131" i="1" a="1"/>
  <c r="L131" i="1"/>
  <c r="M131" i="1" a="1"/>
  <c r="M131" i="1" s="1"/>
  <c r="N131" i="1" a="1"/>
  <c r="N131" i="1"/>
  <c r="O131" i="1" a="1"/>
  <c r="O131" i="1"/>
  <c r="P131" i="1" a="1"/>
  <c r="P131" i="1"/>
  <c r="Q131" i="1" a="1"/>
  <c r="Q131" i="1"/>
  <c r="R131" i="1" a="1"/>
  <c r="R131" i="1"/>
  <c r="S131" i="1" a="1"/>
  <c r="S131" i="1" s="1"/>
  <c r="T131" i="1" a="1"/>
  <c r="T131" i="1"/>
  <c r="U131" i="1" a="1"/>
  <c r="U131" i="1"/>
  <c r="V131" i="1" a="1"/>
  <c r="V131" i="1"/>
  <c r="W131" i="1" a="1"/>
  <c r="W131" i="1"/>
  <c r="J133" i="1" a="1"/>
  <c r="J133" i="1"/>
  <c r="K133" i="1" a="1"/>
  <c r="K133" i="1"/>
  <c r="L133" i="1" a="1"/>
  <c r="L133" i="1"/>
  <c r="M133" i="1" a="1"/>
  <c r="M133" i="1"/>
  <c r="N133" i="1" a="1"/>
  <c r="N133" i="1" s="1"/>
  <c r="O133" i="1" a="1"/>
  <c r="O133" i="1"/>
  <c r="P133" i="1" a="1"/>
  <c r="P133" i="1"/>
  <c r="Q133" i="1" a="1"/>
  <c r="Q133" i="1"/>
  <c r="R133" i="1" a="1"/>
  <c r="R133" i="1"/>
  <c r="S133" i="1" a="1"/>
  <c r="S133" i="1"/>
  <c r="T133" i="1" a="1"/>
  <c r="T133" i="1" s="1"/>
  <c r="U133" i="1" a="1"/>
  <c r="U133" i="1"/>
  <c r="V133" i="1" a="1"/>
  <c r="V133" i="1"/>
  <c r="W133" i="1" a="1"/>
  <c r="W133" i="1"/>
  <c r="J135" i="1" a="1"/>
  <c r="J135" i="1"/>
  <c r="K135" i="1" a="1"/>
  <c r="K135" i="1"/>
  <c r="L135" i="1" a="1"/>
  <c r="L135" i="1"/>
  <c r="M135" i="1" a="1"/>
  <c r="M135" i="1"/>
  <c r="N135" i="1" a="1"/>
  <c r="N135" i="1"/>
  <c r="O135" i="1" a="1"/>
  <c r="O135" i="1" s="1"/>
  <c r="P135" i="1" a="1"/>
  <c r="P135" i="1"/>
  <c r="Q135" i="1" a="1"/>
  <c r="Q135" i="1"/>
  <c r="R135" i="1" a="1"/>
  <c r="R135" i="1"/>
  <c r="S135" i="1" a="1"/>
  <c r="S135" i="1"/>
  <c r="T135" i="1" a="1"/>
  <c r="T135" i="1"/>
  <c r="U135" i="1" a="1"/>
  <c r="U135" i="1" s="1"/>
  <c r="V135" i="1" a="1"/>
  <c r="V135" i="1"/>
  <c r="W135" i="1" a="1"/>
  <c r="W135" i="1"/>
  <c r="I133" i="1" a="1"/>
  <c r="I133" i="1"/>
  <c r="I135" i="1" a="1"/>
  <c r="I135" i="1"/>
  <c r="I137" i="1" a="1"/>
  <c r="I137" i="1"/>
  <c r="I139" i="1" a="1"/>
  <c r="I139" i="1"/>
  <c r="I141" i="1" a="1"/>
  <c r="I141" i="1"/>
  <c r="I143" i="1" a="1"/>
  <c r="I143" i="1"/>
  <c r="I145" i="1" a="1"/>
  <c r="I145" i="1" s="1"/>
  <c r="I147" i="1" a="1"/>
  <c r="I147" i="1"/>
  <c r="I149" i="1" a="1"/>
  <c r="I149" i="1"/>
  <c r="I151" i="1" a="1"/>
  <c r="I151" i="1"/>
  <c r="I131" i="1" a="1"/>
  <c r="I131" i="1"/>
  <c r="I117" i="1" a="1"/>
  <c r="I117" i="1" s="1"/>
  <c r="J117" i="1" a="1"/>
  <c r="J117" i="1"/>
  <c r="K117" i="1" a="1"/>
  <c r="K117" i="1"/>
  <c r="L117" i="1" a="1"/>
  <c r="L117" i="1"/>
  <c r="M117" i="1" a="1"/>
  <c r="M117" i="1"/>
  <c r="N117" i="1" a="1"/>
  <c r="N117" i="1"/>
  <c r="O117" i="1" a="1"/>
  <c r="O117" i="1" s="1"/>
  <c r="P117" i="1" a="1"/>
  <c r="P117" i="1"/>
  <c r="Q117" i="1" a="1"/>
  <c r="Q117" i="1"/>
  <c r="R117" i="1" a="1"/>
  <c r="R117" i="1"/>
  <c r="S117" i="1" a="1"/>
  <c r="S117" i="1"/>
  <c r="T117" i="1" a="1"/>
  <c r="T117" i="1"/>
  <c r="U117" i="1" a="1"/>
  <c r="U117" i="1" s="1"/>
  <c r="V117" i="1" a="1"/>
  <c r="V117" i="1"/>
  <c r="W117" i="1" a="1"/>
  <c r="W117" i="1"/>
  <c r="I119" i="1" a="1"/>
  <c r="I119" i="1"/>
  <c r="J119" i="1" a="1"/>
  <c r="J119" i="1"/>
  <c r="K119" i="1" a="1"/>
  <c r="K119" i="1"/>
  <c r="L119" i="1" a="1"/>
  <c r="L119" i="1" s="1"/>
  <c r="M119" i="1" a="1"/>
  <c r="M119" i="1"/>
  <c r="N119" i="1" a="1"/>
  <c r="N119" i="1"/>
  <c r="O119" i="1" a="1"/>
  <c r="O119" i="1"/>
  <c r="P119" i="1" a="1"/>
  <c r="P119" i="1"/>
  <c r="Q119" i="1" a="1"/>
  <c r="Q119" i="1"/>
  <c r="R119" i="1" a="1"/>
  <c r="R119" i="1" s="1"/>
  <c r="S119" i="1" a="1"/>
  <c r="S119" i="1"/>
  <c r="T119" i="1" a="1"/>
  <c r="T119" i="1"/>
  <c r="U119" i="1" a="1"/>
  <c r="U119" i="1"/>
  <c r="V119" i="1" a="1"/>
  <c r="V119" i="1"/>
  <c r="W119" i="1" a="1"/>
  <c r="W119" i="1"/>
  <c r="I121" i="1" a="1"/>
  <c r="I121" i="1" s="1"/>
  <c r="J121" i="1" a="1"/>
  <c r="J121" i="1"/>
  <c r="K121" i="1" a="1"/>
  <c r="K121" i="1"/>
  <c r="L121" i="1" a="1"/>
  <c r="L121" i="1"/>
  <c r="M121" i="1" a="1"/>
  <c r="M121" i="1"/>
  <c r="N121" i="1" a="1"/>
  <c r="N121" i="1"/>
  <c r="O121" i="1" a="1"/>
  <c r="O121" i="1" s="1"/>
  <c r="P121" i="1" a="1"/>
  <c r="P121" i="1"/>
  <c r="Q121" i="1" a="1"/>
  <c r="Q121" i="1"/>
  <c r="R121" i="1" a="1"/>
  <c r="R121" i="1"/>
  <c r="S121" i="1" a="1"/>
  <c r="S121" i="1"/>
  <c r="T121" i="1" a="1"/>
  <c r="T121" i="1"/>
  <c r="U121" i="1" a="1"/>
  <c r="U121" i="1" s="1"/>
  <c r="V121" i="1" a="1"/>
  <c r="V121" i="1"/>
  <c r="W121" i="1" a="1"/>
  <c r="W121" i="1"/>
  <c r="I123" i="1" a="1"/>
  <c r="I123" i="1"/>
  <c r="J123" i="1" a="1"/>
  <c r="J123" i="1"/>
  <c r="K123" i="1" a="1"/>
  <c r="K123" i="1"/>
  <c r="L123" i="1" a="1"/>
  <c r="L123" i="1" s="1"/>
  <c r="M123" i="1" a="1"/>
  <c r="M123" i="1"/>
  <c r="N123" i="1" a="1"/>
  <c r="N123" i="1"/>
  <c r="O123" i="1" a="1"/>
  <c r="O123" i="1"/>
  <c r="P123" i="1" a="1"/>
  <c r="P123" i="1"/>
  <c r="Q123" i="1" a="1"/>
  <c r="Q123" i="1"/>
  <c r="R123" i="1" a="1"/>
  <c r="R123" i="1" s="1"/>
  <c r="S123" i="1" a="1"/>
  <c r="S123" i="1"/>
  <c r="T123" i="1" a="1"/>
  <c r="T123" i="1"/>
  <c r="U123" i="1" a="1"/>
  <c r="U123" i="1"/>
  <c r="V123" i="1" a="1"/>
  <c r="V123" i="1"/>
  <c r="W123" i="1" a="1"/>
  <c r="W123" i="1"/>
  <c r="I125" i="1" a="1"/>
  <c r="I125" i="1" s="1"/>
  <c r="J125" i="1" a="1"/>
  <c r="J125" i="1"/>
  <c r="K125" i="1" a="1"/>
  <c r="K125" i="1"/>
  <c r="L125" i="1" a="1"/>
  <c r="L125" i="1"/>
  <c r="M125" i="1" a="1"/>
  <c r="M125" i="1"/>
  <c r="N125" i="1" a="1"/>
  <c r="N125" i="1"/>
  <c r="O125" i="1" a="1"/>
  <c r="O125" i="1" s="1"/>
  <c r="P125" i="1" a="1"/>
  <c r="P125" i="1"/>
  <c r="Q125" i="1" a="1"/>
  <c r="Q125" i="1"/>
  <c r="R125" i="1" a="1"/>
  <c r="R125" i="1"/>
  <c r="S125" i="1" a="1"/>
  <c r="S125" i="1"/>
  <c r="T125" i="1" a="1"/>
  <c r="T125" i="1"/>
  <c r="U125" i="1" a="1"/>
  <c r="U125" i="1" s="1"/>
  <c r="V125" i="1" a="1"/>
  <c r="V125" i="1"/>
  <c r="W125" i="1" a="1"/>
  <c r="W125" i="1"/>
  <c r="I127" i="1" a="1"/>
  <c r="I127" i="1"/>
  <c r="J127" i="1" a="1"/>
  <c r="J127" i="1"/>
  <c r="K127" i="1" a="1"/>
  <c r="K127" i="1"/>
  <c r="L127" i="1" a="1"/>
  <c r="L127" i="1" s="1"/>
  <c r="M127" i="1" a="1"/>
  <c r="M127" i="1"/>
  <c r="N127" i="1" a="1"/>
  <c r="N127" i="1"/>
  <c r="O127" i="1" a="1"/>
  <c r="O127" i="1"/>
  <c r="P127" i="1" a="1"/>
  <c r="P127" i="1"/>
  <c r="Q127" i="1" a="1"/>
  <c r="Q127" i="1"/>
  <c r="R127" i="1" a="1"/>
  <c r="R127" i="1" s="1"/>
  <c r="S127" i="1" a="1"/>
  <c r="S127" i="1"/>
  <c r="T127" i="1" a="1"/>
  <c r="T127" i="1"/>
  <c r="U127" i="1" a="1"/>
  <c r="U127" i="1"/>
  <c r="V127" i="1" a="1"/>
  <c r="V127" i="1"/>
  <c r="W127" i="1" a="1"/>
  <c r="W127" i="1"/>
  <c r="I129" i="1" a="1"/>
  <c r="I129" i="1" s="1"/>
  <c r="J129" i="1" a="1"/>
  <c r="J129" i="1"/>
  <c r="K129" i="1" a="1"/>
  <c r="K129" i="1"/>
  <c r="L129" i="1" a="1"/>
  <c r="L129" i="1"/>
  <c r="M129" i="1" a="1"/>
  <c r="M129" i="1"/>
  <c r="N129" i="1" a="1"/>
  <c r="N129" i="1"/>
  <c r="O129" i="1" a="1"/>
  <c r="O129" i="1" s="1"/>
  <c r="P129" i="1" a="1"/>
  <c r="P129" i="1"/>
  <c r="Q129" i="1" a="1"/>
  <c r="Q129" i="1"/>
  <c r="R129" i="1" a="1"/>
  <c r="R129" i="1"/>
  <c r="S129" i="1" a="1"/>
  <c r="S129" i="1"/>
  <c r="T129" i="1" a="1"/>
  <c r="T129" i="1"/>
  <c r="U129" i="1" a="1"/>
  <c r="U129" i="1" s="1"/>
  <c r="V129" i="1" a="1"/>
  <c r="V129" i="1"/>
  <c r="W129" i="1" a="1"/>
  <c r="W129" i="1"/>
  <c r="I99" i="1" a="1"/>
  <c r="I99" i="1"/>
  <c r="J99" i="1" a="1"/>
  <c r="J99" i="1"/>
  <c r="K99" i="1" a="1"/>
  <c r="K99" i="1" s="1"/>
  <c r="L99" i="1" a="1"/>
  <c r="L99" i="1"/>
  <c r="M99" i="1" a="1"/>
  <c r="M99" i="1"/>
  <c r="N99" i="1" a="1"/>
  <c r="N99" i="1"/>
  <c r="O99" i="1" a="1"/>
  <c r="O99" i="1"/>
  <c r="P99" i="1" a="1"/>
  <c r="P99" i="1"/>
  <c r="Q99" i="1" a="1"/>
  <c r="Q99" i="1" s="1"/>
  <c r="R99" i="1" a="1"/>
  <c r="R99" i="1"/>
  <c r="S99" i="1" a="1"/>
  <c r="S99" i="1"/>
  <c r="T99" i="1" a="1"/>
  <c r="T99" i="1"/>
  <c r="U99" i="1" a="1"/>
  <c r="U99" i="1"/>
  <c r="V99" i="1" a="1"/>
  <c r="V99" i="1"/>
  <c r="W99" i="1" a="1"/>
  <c r="W99" i="1" s="1"/>
  <c r="I101" i="1" a="1"/>
  <c r="I101" i="1"/>
  <c r="J101" i="1" a="1"/>
  <c r="J101" i="1"/>
  <c r="K101" i="1" a="1"/>
  <c r="K101" i="1"/>
  <c r="L101" i="1" a="1"/>
  <c r="L101" i="1"/>
  <c r="M101" i="1" a="1"/>
  <c r="M101" i="1"/>
  <c r="N101" i="1" a="1"/>
  <c r="N101" i="1" s="1"/>
  <c r="O101" i="1" a="1"/>
  <c r="O101" i="1"/>
  <c r="P101" i="1" a="1"/>
  <c r="P101" i="1"/>
  <c r="Q101" i="1" a="1"/>
  <c r="Q101" i="1"/>
  <c r="R101" i="1" a="1"/>
  <c r="R101" i="1"/>
  <c r="S101" i="1" a="1"/>
  <c r="S101" i="1"/>
  <c r="T101" i="1" a="1"/>
  <c r="T101" i="1" s="1"/>
  <c r="U101" i="1" a="1"/>
  <c r="U101" i="1"/>
  <c r="V101" i="1" a="1"/>
  <c r="V101" i="1"/>
  <c r="W101" i="1" a="1"/>
  <c r="W101" i="1"/>
  <c r="I103" i="1" a="1"/>
  <c r="I103" i="1"/>
  <c r="J103" i="1" a="1"/>
  <c r="J103" i="1"/>
  <c r="K103" i="1" a="1"/>
  <c r="K103" i="1" s="1"/>
  <c r="L103" i="1" a="1"/>
  <c r="L103" i="1"/>
  <c r="M103" i="1" a="1"/>
  <c r="M103" i="1"/>
  <c r="N103" i="1" a="1"/>
  <c r="N103" i="1"/>
  <c r="O103" i="1" a="1"/>
  <c r="O103" i="1"/>
  <c r="P103" i="1" a="1"/>
  <c r="P103" i="1"/>
  <c r="Q103" i="1" a="1"/>
  <c r="Q103" i="1" s="1"/>
  <c r="R103" i="1" a="1"/>
  <c r="R103" i="1"/>
  <c r="S103" i="1" a="1"/>
  <c r="S103" i="1"/>
  <c r="T103" i="1" a="1"/>
  <c r="T103" i="1"/>
  <c r="U103" i="1" a="1"/>
  <c r="U103" i="1"/>
  <c r="V103" i="1" a="1"/>
  <c r="V103" i="1"/>
  <c r="W103" i="1" a="1"/>
  <c r="W103" i="1" s="1"/>
  <c r="I105" i="1" a="1"/>
  <c r="I105" i="1"/>
  <c r="J105" i="1" a="1"/>
  <c r="J105" i="1"/>
  <c r="K105" i="1" a="1"/>
  <c r="K105" i="1"/>
  <c r="L105" i="1" a="1"/>
  <c r="L105" i="1"/>
  <c r="M105" i="1" a="1"/>
  <c r="M105" i="1"/>
  <c r="N105" i="1" a="1"/>
  <c r="N105" i="1" s="1"/>
  <c r="O105" i="1" a="1"/>
  <c r="O105" i="1"/>
  <c r="P105" i="1" a="1"/>
  <c r="P105" i="1"/>
  <c r="Q105" i="1" a="1"/>
  <c r="Q105" i="1"/>
  <c r="R105" i="1" a="1"/>
  <c r="R105" i="1"/>
  <c r="S105" i="1" a="1"/>
  <c r="S105" i="1"/>
  <c r="T105" i="1" a="1"/>
  <c r="T105" i="1" s="1"/>
  <c r="U105" i="1" a="1"/>
  <c r="U105" i="1"/>
  <c r="V105" i="1" a="1"/>
  <c r="V105" i="1"/>
  <c r="W105" i="1" a="1"/>
  <c r="W105" i="1"/>
  <c r="I107" i="1" a="1"/>
  <c r="I107" i="1"/>
  <c r="J107" i="1" a="1"/>
  <c r="J107" i="1"/>
  <c r="K107" i="1" a="1"/>
  <c r="K107" i="1" s="1"/>
  <c r="L107" i="1" a="1"/>
  <c r="L107" i="1"/>
  <c r="M107" i="1" a="1"/>
  <c r="M107" i="1"/>
  <c r="N107" i="1" a="1"/>
  <c r="N107" i="1"/>
  <c r="O107" i="1" a="1"/>
  <c r="O107" i="1"/>
  <c r="P107" i="1" a="1"/>
  <c r="P107" i="1"/>
  <c r="Q107" i="1" a="1"/>
  <c r="Q107" i="1" s="1"/>
  <c r="R107" i="1" a="1"/>
  <c r="R107" i="1"/>
  <c r="S107" i="1" a="1"/>
  <c r="S107" i="1"/>
  <c r="T107" i="1" a="1"/>
  <c r="T107" i="1"/>
  <c r="U107" i="1" a="1"/>
  <c r="U107" i="1"/>
  <c r="V107" i="1" a="1"/>
  <c r="V107" i="1"/>
  <c r="W107" i="1" a="1"/>
  <c r="W107" i="1" s="1"/>
  <c r="I109" i="1" a="1"/>
  <c r="I109" i="1"/>
  <c r="J109" i="1" a="1"/>
  <c r="J109" i="1"/>
  <c r="K109" i="1" a="1"/>
  <c r="K109" i="1"/>
  <c r="L109" i="1" a="1"/>
  <c r="L109" i="1"/>
  <c r="M109" i="1" a="1"/>
  <c r="M109" i="1"/>
  <c r="N109" i="1" a="1"/>
  <c r="N109" i="1" s="1"/>
  <c r="O109" i="1" a="1"/>
  <c r="O109" i="1"/>
  <c r="P109" i="1" a="1"/>
  <c r="P109" i="1"/>
  <c r="Q109" i="1" a="1"/>
  <c r="Q109" i="1"/>
  <c r="R109" i="1" a="1"/>
  <c r="R109" i="1"/>
  <c r="S109" i="1" a="1"/>
  <c r="S109" i="1"/>
  <c r="T109" i="1" a="1"/>
  <c r="T109" i="1" s="1"/>
  <c r="U109" i="1" a="1"/>
  <c r="U109" i="1"/>
  <c r="V109" i="1" a="1"/>
  <c r="V109" i="1"/>
  <c r="W109" i="1" a="1"/>
  <c r="W109" i="1"/>
  <c r="I111" i="1" a="1"/>
  <c r="I111" i="1"/>
  <c r="J111" i="1" a="1"/>
  <c r="J111" i="1"/>
  <c r="K111" i="1" a="1"/>
  <c r="K111" i="1" s="1"/>
  <c r="L111" i="1" a="1"/>
  <c r="L111" i="1"/>
  <c r="M111" i="1" a="1"/>
  <c r="M111" i="1"/>
  <c r="N111" i="1" a="1"/>
  <c r="N111" i="1"/>
  <c r="O111" i="1" a="1"/>
  <c r="O111" i="1"/>
  <c r="P111" i="1" a="1"/>
  <c r="P111" i="1"/>
  <c r="Q111" i="1" a="1"/>
  <c r="Q111" i="1" s="1"/>
  <c r="R111" i="1" a="1"/>
  <c r="R111" i="1"/>
  <c r="S111" i="1" a="1"/>
  <c r="S111" i="1"/>
  <c r="T111" i="1" a="1"/>
  <c r="T111" i="1"/>
  <c r="U111" i="1" a="1"/>
  <c r="U111" i="1"/>
  <c r="V111" i="1" a="1"/>
  <c r="V111" i="1"/>
  <c r="W111" i="1" a="1"/>
  <c r="W111" i="1" s="1"/>
  <c r="I113" i="1" a="1"/>
  <c r="I113" i="1"/>
  <c r="J113" i="1" a="1"/>
  <c r="J113" i="1"/>
  <c r="K113" i="1" a="1"/>
  <c r="K113" i="1"/>
  <c r="L113" i="1" a="1"/>
  <c r="L113" i="1"/>
  <c r="M113" i="1" a="1"/>
  <c r="M113" i="1"/>
  <c r="N113" i="1" a="1"/>
  <c r="N113" i="1" s="1"/>
  <c r="O113" i="1" a="1"/>
  <c r="O113" i="1"/>
  <c r="P113" i="1" a="1"/>
  <c r="P113" i="1"/>
  <c r="Q113" i="1" a="1"/>
  <c r="Q113" i="1"/>
  <c r="R113" i="1" a="1"/>
  <c r="R113" i="1"/>
  <c r="S113" i="1" a="1"/>
  <c r="S113" i="1"/>
  <c r="T113" i="1" a="1"/>
  <c r="T113" i="1" s="1"/>
  <c r="U113" i="1" a="1"/>
  <c r="U113" i="1"/>
  <c r="V113" i="1" a="1"/>
  <c r="V113" i="1"/>
  <c r="W113" i="1" a="1"/>
  <c r="W113" i="1"/>
  <c r="I115" i="1" a="1"/>
  <c r="I115" i="1"/>
  <c r="J115" i="1" a="1"/>
  <c r="J115" i="1"/>
  <c r="K115" i="1" a="1"/>
  <c r="K115" i="1" s="1"/>
  <c r="L115" i="1" a="1"/>
  <c r="L115" i="1"/>
  <c r="M115" i="1" a="1"/>
  <c r="M115" i="1"/>
  <c r="N115" i="1" a="1"/>
  <c r="N115" i="1"/>
  <c r="O115" i="1" a="1"/>
  <c r="O115" i="1"/>
  <c r="P115" i="1" a="1"/>
  <c r="P115" i="1"/>
  <c r="Q115" i="1" a="1"/>
  <c r="Q115" i="1" s="1"/>
  <c r="R115" i="1" a="1"/>
  <c r="R115" i="1"/>
  <c r="S115" i="1" a="1"/>
  <c r="S115" i="1"/>
  <c r="T115" i="1" a="1"/>
  <c r="T115" i="1"/>
  <c r="U115" i="1" a="1"/>
  <c r="U115" i="1"/>
  <c r="V115" i="1" a="1"/>
  <c r="V115" i="1"/>
  <c r="W115" i="1" a="1"/>
  <c r="W115" i="1" s="1"/>
  <c r="I9" i="1" a="1"/>
  <c r="I9" i="1"/>
  <c r="X9" i="1" a="1"/>
  <c r="X9" i="1"/>
  <c r="Y9" i="1" a="1"/>
  <c r="Y9" i="1" s="1"/>
  <c r="Z9" i="1" a="1"/>
  <c r="Z9" i="1" s="1"/>
  <c r="AA9" i="1" a="1"/>
  <c r="AA9" i="1"/>
  <c r="AB9" i="1" a="1"/>
  <c r="AB9" i="1" s="1"/>
  <c r="AC9" i="1" a="1"/>
  <c r="AC9" i="1" s="1"/>
  <c r="AD9" i="1" a="1"/>
  <c r="AD9" i="1"/>
  <c r="AE9" i="1" a="1"/>
  <c r="AE9" i="1"/>
  <c r="AF9" i="1" a="1"/>
  <c r="AF9" i="1" s="1"/>
  <c r="I11" i="1" a="1"/>
  <c r="I11" i="1" s="1"/>
  <c r="J11" i="1" a="1"/>
  <c r="J11" i="1" s="1"/>
  <c r="K11" i="1" a="1"/>
  <c r="K11" i="1" s="1"/>
  <c r="L11" i="1" a="1"/>
  <c r="L11" i="1" s="1"/>
  <c r="M11" i="1" a="1"/>
  <c r="M11" i="1"/>
  <c r="N11" i="1" a="1"/>
  <c r="N11" i="1"/>
  <c r="O11" i="1" a="1"/>
  <c r="O11" i="1" s="1"/>
  <c r="P11" i="1" a="1"/>
  <c r="P11" i="1" s="1"/>
  <c r="Q11" i="1" a="1"/>
  <c r="Q11" i="1" s="1"/>
  <c r="R11" i="1" a="1"/>
  <c r="R11" i="1" s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/>
  <c r="Z11" i="1" a="1"/>
  <c r="Z11" i="1"/>
  <c r="AA11" i="1" a="1"/>
  <c r="AA11" i="1"/>
  <c r="AB11" i="1" a="1"/>
  <c r="AB11" i="1" s="1"/>
  <c r="AC11" i="1" a="1"/>
  <c r="AC11" i="1" s="1"/>
  <c r="AD11" i="1" a="1"/>
  <c r="AD11" i="1" s="1"/>
  <c r="AE11" i="1" a="1"/>
  <c r="AE11" i="1" s="1"/>
  <c r="AF11" i="1" a="1"/>
  <c r="AF11" i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/>
  <c r="Y13" i="1" a="1"/>
  <c r="Y13" i="1"/>
  <c r="Z13" i="1" a="1"/>
  <c r="Z13" i="1"/>
  <c r="AA13" i="1" a="1"/>
  <c r="AA13" i="1" s="1"/>
  <c r="AB13" i="1" a="1"/>
  <c r="AB13" i="1" s="1"/>
  <c r="AC13" i="1" a="1"/>
  <c r="AC13" i="1" s="1"/>
  <c r="AD13" i="1" a="1"/>
  <c r="AD13" i="1"/>
  <c r="AE13" i="1" a="1"/>
  <c r="AE13" i="1"/>
  <c r="AF13" i="1" a="1"/>
  <c r="AF13" i="1"/>
  <c r="I15" i="1" a="1"/>
  <c r="I15" i="1"/>
  <c r="J15" i="1" a="1"/>
  <c r="J15" i="1" s="1"/>
  <c r="K15" i="1" a="1"/>
  <c r="K15" i="1" s="1"/>
  <c r="L15" i="1" a="1"/>
  <c r="L15" i="1" s="1"/>
  <c r="M15" i="1" a="1"/>
  <c r="M15" i="1"/>
  <c r="N15" i="1" a="1"/>
  <c r="N15" i="1"/>
  <c r="O15" i="1" a="1"/>
  <c r="O15" i="1"/>
  <c r="P15" i="1" a="1"/>
  <c r="P15" i="1" s="1"/>
  <c r="Q15" i="1" a="1"/>
  <c r="Q15" i="1" s="1"/>
  <c r="R15" i="1" a="1"/>
  <c r="R15" i="1" s="1"/>
  <c r="S15" i="1" a="1"/>
  <c r="S15" i="1" s="1"/>
  <c r="T15" i="1" a="1"/>
  <c r="T15" i="1"/>
  <c r="U15" i="1" a="1"/>
  <c r="U15" i="1"/>
  <c r="V15" i="1" a="1"/>
  <c r="V15" i="1" s="1"/>
  <c r="W15" i="1" a="1"/>
  <c r="W15" i="1" s="1"/>
  <c r="X15" i="1" a="1"/>
  <c r="X15" i="1"/>
  <c r="Y15" i="1" a="1"/>
  <c r="Y15" i="1" s="1"/>
  <c r="Z15" i="1" a="1"/>
  <c r="Z15" i="1" s="1"/>
  <c r="AA15" i="1" a="1"/>
  <c r="AA15" i="1"/>
  <c r="AB15" i="1" a="1"/>
  <c r="AB15" i="1" s="1"/>
  <c r="AC15" i="1" a="1"/>
  <c r="AC15" i="1" s="1"/>
  <c r="AD15" i="1" a="1"/>
  <c r="AD15" i="1"/>
  <c r="AE15" i="1" a="1"/>
  <c r="AE15" i="1"/>
  <c r="AF15" i="1" a="1"/>
  <c r="AF15" i="1" s="1"/>
  <c r="I17" i="1" a="1"/>
  <c r="I17" i="1" s="1"/>
  <c r="J17" i="1" a="1"/>
  <c r="J17" i="1" s="1"/>
  <c r="K17" i="1" a="1"/>
  <c r="K17" i="1" s="1"/>
  <c r="L17" i="1" a="1"/>
  <c r="L17" i="1"/>
  <c r="M17" i="1" a="1"/>
  <c r="M17" i="1"/>
  <c r="N17" i="1" a="1"/>
  <c r="N17" i="1"/>
  <c r="O17" i="1" a="1"/>
  <c r="O17" i="1" s="1"/>
  <c r="P17" i="1" a="1"/>
  <c r="P17" i="1" s="1"/>
  <c r="Q17" i="1" a="1"/>
  <c r="Q17" i="1" s="1"/>
  <c r="R17" i="1" a="1"/>
  <c r="R17" i="1"/>
  <c r="S17" i="1" a="1"/>
  <c r="S17" i="1"/>
  <c r="T17" i="1" a="1"/>
  <c r="T17" i="1"/>
  <c r="U17" i="1" a="1"/>
  <c r="U17" i="1"/>
  <c r="V17" i="1" a="1"/>
  <c r="V17" i="1" s="1"/>
  <c r="W17" i="1" a="1"/>
  <c r="W17" i="1" s="1"/>
  <c r="X17" i="1" a="1"/>
  <c r="X17" i="1" s="1"/>
  <c r="Y17" i="1" a="1"/>
  <c r="Y17" i="1"/>
  <c r="Z17" i="1" a="1"/>
  <c r="Z17" i="1"/>
  <c r="AA17" i="1" a="1"/>
  <c r="AA17" i="1"/>
  <c r="AB17" i="1" a="1"/>
  <c r="AB17" i="1" s="1"/>
  <c r="AC17" i="1" a="1"/>
  <c r="AC17" i="1" s="1"/>
  <c r="AD17" i="1" a="1"/>
  <c r="AD17" i="1" s="1"/>
  <c r="AE17" i="1" a="1"/>
  <c r="AE17" i="1" s="1"/>
  <c r="AF17" i="1" a="1"/>
  <c r="AF17" i="1"/>
  <c r="I19" i="1" a="1"/>
  <c r="I19" i="1"/>
  <c r="J19" i="1" a="1"/>
  <c r="J19" i="1" s="1"/>
  <c r="K19" i="1" a="1"/>
  <c r="K19" i="1" s="1"/>
  <c r="L19" i="1" a="1"/>
  <c r="L19" i="1"/>
  <c r="M19" i="1" a="1"/>
  <c r="M19" i="1" s="1"/>
  <c r="N19" i="1" a="1"/>
  <c r="N19" i="1" s="1"/>
  <c r="O19" i="1" a="1"/>
  <c r="O19" i="1"/>
  <c r="P19" i="1" a="1"/>
  <c r="P19" i="1" s="1"/>
  <c r="Q19" i="1" a="1"/>
  <c r="Q19" i="1" s="1"/>
  <c r="R19" i="1" a="1"/>
  <c r="R19" i="1"/>
  <c r="S19" i="1" a="1"/>
  <c r="S19" i="1"/>
  <c r="T19" i="1" a="1"/>
  <c r="T19" i="1" s="1"/>
  <c r="U19" i="1" a="1"/>
  <c r="U19" i="1" s="1"/>
  <c r="V19" i="1" a="1"/>
  <c r="V19" i="1" s="1"/>
  <c r="W19" i="1" a="1"/>
  <c r="W19" i="1" s="1"/>
  <c r="X19" i="1" a="1"/>
  <c r="X19" i="1"/>
  <c r="Y19" i="1" a="1"/>
  <c r="Y19" i="1"/>
  <c r="Z19" i="1" a="1"/>
  <c r="Z19" i="1"/>
  <c r="AA19" i="1" a="1"/>
  <c r="AA19" i="1" s="1"/>
  <c r="AB19" i="1" a="1"/>
  <c r="AB19" i="1" s="1"/>
  <c r="AC19" i="1" a="1"/>
  <c r="AC19" i="1" s="1"/>
  <c r="AD19" i="1" a="1"/>
  <c r="AD19" i="1"/>
  <c r="AE19" i="1" a="1"/>
  <c r="AE19" i="1"/>
  <c r="AF19" i="1" a="1"/>
  <c r="AF19" i="1"/>
  <c r="I21" i="1" a="1"/>
  <c r="I21" i="1"/>
  <c r="J21" i="1" a="1"/>
  <c r="J21" i="1" s="1"/>
  <c r="K21" i="1" a="1"/>
  <c r="K21" i="1" s="1"/>
  <c r="L21" i="1" a="1"/>
  <c r="L21" i="1" s="1"/>
  <c r="M21" i="1" a="1"/>
  <c r="M21" i="1"/>
  <c r="N21" i="1" a="1"/>
  <c r="N21" i="1"/>
  <c r="O21" i="1" a="1"/>
  <c r="O21" i="1"/>
  <c r="P21" i="1" a="1"/>
  <c r="P21" i="1" s="1"/>
  <c r="Q21" i="1" a="1"/>
  <c r="Q21" i="1" s="1"/>
  <c r="R21" i="1" a="1"/>
  <c r="R21" i="1" s="1"/>
  <c r="S21" i="1" a="1"/>
  <c r="S21" i="1" s="1"/>
  <c r="T21" i="1" a="1"/>
  <c r="T21" i="1"/>
  <c r="U21" i="1" a="1"/>
  <c r="U21" i="1"/>
  <c r="V21" i="1" a="1"/>
  <c r="V21" i="1" s="1"/>
  <c r="W21" i="1" a="1"/>
  <c r="W21" i="1" s="1"/>
  <c r="X21" i="1" a="1"/>
  <c r="X21" i="1"/>
  <c r="Y21" i="1" a="1"/>
  <c r="Y21" i="1" s="1"/>
  <c r="Z21" i="1" a="1"/>
  <c r="Z21" i="1" s="1"/>
  <c r="AA21" i="1" a="1"/>
  <c r="AA21" i="1"/>
  <c r="AB21" i="1" a="1"/>
  <c r="AB21" i="1" s="1"/>
  <c r="AC21" i="1" a="1"/>
  <c r="AC21" i="1" s="1"/>
  <c r="AD21" i="1" a="1"/>
  <c r="AD21" i="1"/>
  <c r="AE21" i="1" a="1"/>
  <c r="AE21" i="1"/>
  <c r="AF21" i="1" a="1"/>
  <c r="AF21" i="1" s="1"/>
  <c r="I23" i="1" a="1"/>
  <c r="I23" i="1" s="1"/>
  <c r="J23" i="1" a="1"/>
  <c r="J23" i="1" s="1"/>
  <c r="K23" i="1" a="1"/>
  <c r="K23" i="1" s="1"/>
  <c r="L23" i="1" a="1"/>
  <c r="L23" i="1"/>
  <c r="M23" i="1" a="1"/>
  <c r="M23" i="1"/>
  <c r="N23" i="1" a="1"/>
  <c r="N23" i="1"/>
  <c r="O23" i="1" a="1"/>
  <c r="O23" i="1" s="1"/>
  <c r="P23" i="1" a="1"/>
  <c r="P23" i="1" s="1"/>
  <c r="Q23" i="1" a="1"/>
  <c r="Q23" i="1" s="1"/>
  <c r="R23" i="1" a="1"/>
  <c r="R23" i="1"/>
  <c r="S23" i="1" a="1"/>
  <c r="S23" i="1"/>
  <c r="T23" i="1" a="1"/>
  <c r="T23" i="1"/>
  <c r="U23" i="1" a="1"/>
  <c r="U23" i="1"/>
  <c r="V23" i="1" a="1"/>
  <c r="V23" i="1" s="1"/>
  <c r="W23" i="1" a="1"/>
  <c r="W23" i="1" s="1"/>
  <c r="X23" i="1" a="1"/>
  <c r="X23" i="1" s="1"/>
  <c r="Y23" i="1" a="1"/>
  <c r="Y23" i="1"/>
  <c r="Z23" i="1" a="1"/>
  <c r="Z23" i="1"/>
  <c r="AA23" i="1" a="1"/>
  <c r="AA23" i="1"/>
  <c r="AB23" i="1" a="1"/>
  <c r="AB23" i="1" s="1"/>
  <c r="AC23" i="1" a="1"/>
  <c r="AC23" i="1" s="1"/>
  <c r="AD23" i="1" a="1"/>
  <c r="AD23" i="1" s="1"/>
  <c r="AE23" i="1" a="1"/>
  <c r="AE23" i="1" s="1"/>
  <c r="AF23" i="1" a="1"/>
  <c r="AF23" i="1"/>
  <c r="I25" i="1" a="1"/>
  <c r="I25" i="1"/>
  <c r="J25" i="1" a="1"/>
  <c r="J25" i="1" s="1"/>
  <c r="K25" i="1" a="1"/>
  <c r="K25" i="1" s="1"/>
  <c r="L25" i="1" a="1"/>
  <c r="L25" i="1"/>
  <c r="M25" i="1" a="1"/>
  <c r="M25" i="1" s="1"/>
  <c r="N25" i="1" a="1"/>
  <c r="N25" i="1" s="1"/>
  <c r="O25" i="1" a="1"/>
  <c r="O25" i="1"/>
  <c r="P25" i="1" a="1"/>
  <c r="P25" i="1" s="1"/>
  <c r="Q25" i="1" a="1"/>
  <c r="Q25" i="1" s="1"/>
  <c r="R25" i="1" a="1"/>
  <c r="R25" i="1"/>
  <c r="S25" i="1" a="1"/>
  <c r="S25" i="1"/>
  <c r="T25" i="1" a="1"/>
  <c r="T25" i="1" s="1"/>
  <c r="U25" i="1" a="1"/>
  <c r="U25" i="1" s="1"/>
  <c r="V25" i="1" a="1"/>
  <c r="V25" i="1"/>
  <c r="W25" i="1" a="1"/>
  <c r="W25" i="1" s="1"/>
  <c r="X25" i="1" a="1"/>
  <c r="X25" i="1"/>
  <c r="Y25" i="1" a="1"/>
  <c r="Y25" i="1"/>
  <c r="Z25" i="1" a="1"/>
  <c r="Z25" i="1"/>
  <c r="AA25" i="1" a="1"/>
  <c r="AA25" i="1"/>
  <c r="AB25" i="1" a="1"/>
  <c r="AB25" i="1"/>
  <c r="AC25" i="1" a="1"/>
  <c r="AC25" i="1" s="1"/>
  <c r="AD25" i="1" a="1"/>
  <c r="AD25" i="1"/>
  <c r="AE25" i="1" a="1"/>
  <c r="AE25" i="1"/>
  <c r="AF25" i="1" a="1"/>
  <c r="AF25" i="1"/>
  <c r="I27" i="1" a="1"/>
  <c r="I27" i="1" s="1"/>
  <c r="J27" i="1" a="1"/>
  <c r="J27" i="1" s="1"/>
  <c r="K27" i="1" a="1"/>
  <c r="K27" i="1" s="1"/>
  <c r="L27" i="1" a="1"/>
  <c r="L27" i="1"/>
  <c r="M27" i="1" a="1"/>
  <c r="M27" i="1"/>
  <c r="N27" i="1" a="1"/>
  <c r="N27" i="1"/>
  <c r="O27" i="1" a="1"/>
  <c r="O27" i="1"/>
  <c r="P27" i="1" a="1"/>
  <c r="P27" i="1"/>
  <c r="Q27" i="1" a="1"/>
  <c r="Q27" i="1" s="1"/>
  <c r="R27" i="1" a="1"/>
  <c r="R27" i="1"/>
  <c r="S27" i="1" a="1"/>
  <c r="S27" i="1"/>
  <c r="T27" i="1" a="1"/>
  <c r="T27" i="1"/>
  <c r="U27" i="1" a="1"/>
  <c r="U27" i="1"/>
  <c r="V27" i="1" a="1"/>
  <c r="V27" i="1" s="1"/>
  <c r="W27" i="1" a="1"/>
  <c r="W27" i="1" s="1"/>
  <c r="X27" i="1" a="1"/>
  <c r="X27" i="1"/>
  <c r="Y27" i="1" a="1"/>
  <c r="Y27" i="1"/>
  <c r="Z27" i="1" a="1"/>
  <c r="Z27" i="1"/>
  <c r="AA27" i="1" a="1"/>
  <c r="AA27" i="1"/>
  <c r="AB27" i="1" a="1"/>
  <c r="AB27" i="1"/>
  <c r="AC27" i="1" a="1"/>
  <c r="AC27" i="1" s="1"/>
  <c r="AD27" i="1" a="1"/>
  <c r="AD27" i="1" s="1"/>
  <c r="AE27" i="1" a="1"/>
  <c r="AE27" i="1"/>
  <c r="AF27" i="1" a="1"/>
  <c r="AF27" i="1"/>
  <c r="I29" i="1" a="1"/>
  <c r="I29" i="1"/>
  <c r="J29" i="1" a="1"/>
  <c r="J29" i="1"/>
  <c r="K29" i="1" a="1"/>
  <c r="K29" i="1" s="1"/>
  <c r="L29" i="1" a="1"/>
  <c r="L29" i="1"/>
  <c r="M29" i="1" a="1"/>
  <c r="M29" i="1"/>
  <c r="N29" i="1" a="1"/>
  <c r="N29" i="1"/>
  <c r="O29" i="1" a="1"/>
  <c r="O29" i="1"/>
  <c r="P29" i="1" a="1"/>
  <c r="P29" i="1"/>
  <c r="Q29" i="1" a="1"/>
  <c r="Q29" i="1"/>
  <c r="R29" i="1" a="1"/>
  <c r="R29" i="1"/>
  <c r="S29" i="1" a="1"/>
  <c r="S29" i="1"/>
  <c r="T29" i="1" a="1"/>
  <c r="T29" i="1"/>
  <c r="U29" i="1" a="1"/>
  <c r="U29" i="1"/>
  <c r="V29" i="1" a="1"/>
  <c r="V29" i="1"/>
  <c r="W29" i="1" a="1"/>
  <c r="W29" i="1"/>
  <c r="X29" i="1" a="1"/>
  <c r="X29" i="1"/>
  <c r="Y29" i="1" a="1"/>
  <c r="Y29" i="1"/>
  <c r="Z29" i="1" a="1"/>
  <c r="Z29" i="1"/>
  <c r="AA29" i="1" a="1"/>
  <c r="AA29" i="1"/>
  <c r="AB29" i="1" a="1"/>
  <c r="AB29" i="1"/>
  <c r="AC29" i="1" a="1"/>
  <c r="AC29" i="1"/>
  <c r="AD29" i="1" a="1"/>
  <c r="AD29" i="1"/>
  <c r="AE29" i="1" a="1"/>
  <c r="AE29" i="1"/>
  <c r="AF29" i="1" a="1"/>
  <c r="AF29" i="1"/>
  <c r="I31" i="1" a="1"/>
  <c r="I31" i="1"/>
  <c r="J31" i="1" a="1"/>
  <c r="J31" i="1"/>
  <c r="K31" i="1" a="1"/>
  <c r="K31" i="1"/>
  <c r="L31" i="1" a="1"/>
  <c r="L31" i="1"/>
  <c r="M31" i="1" a="1"/>
  <c r="M31" i="1"/>
  <c r="N31" i="1" a="1"/>
  <c r="N31" i="1"/>
  <c r="O31" i="1" a="1"/>
  <c r="O31" i="1"/>
  <c r="P31" i="1" a="1"/>
  <c r="P31" i="1"/>
  <c r="Q31" i="1" a="1"/>
  <c r="Q31" i="1"/>
  <c r="R31" i="1" a="1"/>
  <c r="R31" i="1"/>
  <c r="S31" i="1" a="1"/>
  <c r="S31" i="1"/>
  <c r="T31" i="1" a="1"/>
  <c r="T31" i="1"/>
  <c r="U31" i="1" a="1"/>
  <c r="U31" i="1"/>
  <c r="V31" i="1" a="1"/>
  <c r="V31" i="1"/>
  <c r="W31" i="1" a="1"/>
  <c r="W31" i="1"/>
  <c r="X31" i="1" a="1"/>
  <c r="X31" i="1"/>
  <c r="Y31" i="1" a="1"/>
  <c r="Y31" i="1"/>
  <c r="Z31" i="1" a="1"/>
  <c r="Z31" i="1"/>
  <c r="AA31" i="1" a="1"/>
  <c r="AA31" i="1"/>
  <c r="AB31" i="1" a="1"/>
  <c r="AB31" i="1"/>
  <c r="AC31" i="1" a="1"/>
  <c r="AC31" i="1"/>
  <c r="AD31" i="1" a="1"/>
  <c r="AD31" i="1"/>
  <c r="AE31" i="1" a="1"/>
  <c r="AE31" i="1"/>
  <c r="AF31" i="1" a="1"/>
  <c r="AF31" i="1"/>
  <c r="I33" i="1" a="1"/>
  <c r="I33" i="1"/>
  <c r="J33" i="1" a="1"/>
  <c r="J33" i="1"/>
  <c r="K33" i="1" a="1"/>
  <c r="K33" i="1"/>
  <c r="L33" i="1" a="1"/>
  <c r="L33" i="1"/>
  <c r="M33" i="1" a="1"/>
  <c r="M33" i="1"/>
  <c r="N33" i="1" a="1"/>
  <c r="N33" i="1"/>
  <c r="O33" i="1" a="1"/>
  <c r="O33" i="1"/>
  <c r="P33" i="1" a="1"/>
  <c r="P33" i="1"/>
  <c r="Q33" i="1" a="1"/>
  <c r="Q33" i="1"/>
  <c r="R33" i="1" a="1"/>
  <c r="R33" i="1"/>
  <c r="S33" i="1" a="1"/>
  <c r="S33" i="1"/>
  <c r="T33" i="1" a="1"/>
  <c r="T33" i="1"/>
  <c r="U33" i="1" a="1"/>
  <c r="U33" i="1"/>
  <c r="W33" i="1" a="1"/>
  <c r="W33" i="1"/>
  <c r="X33" i="1" a="1"/>
  <c r="X33" i="1"/>
  <c r="Y33" i="1" a="1"/>
  <c r="Y33" i="1"/>
  <c r="Z33" i="1" a="1"/>
  <c r="Z33" i="1"/>
  <c r="AA33" i="1" a="1"/>
  <c r="AA33" i="1"/>
  <c r="AB33" i="1" a="1"/>
  <c r="AB33" i="1"/>
  <c r="AC33" i="1" a="1"/>
  <c r="AC33" i="1"/>
  <c r="AD33" i="1" a="1"/>
  <c r="AD33" i="1"/>
  <c r="AE33" i="1" a="1"/>
  <c r="AE33" i="1"/>
  <c r="AF33" i="1" a="1"/>
  <c r="AF33" i="1"/>
  <c r="I35" i="1" a="1"/>
  <c r="I35" i="1"/>
  <c r="J35" i="1" a="1"/>
  <c r="J35" i="1"/>
  <c r="K35" i="1" a="1"/>
  <c r="K35" i="1"/>
  <c r="L35" i="1" a="1"/>
  <c r="L35" i="1"/>
  <c r="M35" i="1" a="1"/>
  <c r="M35" i="1"/>
  <c r="N35" i="1" a="1"/>
  <c r="N35" i="1"/>
  <c r="O35" i="1" a="1"/>
  <c r="O35" i="1"/>
  <c r="P35" i="1" a="1"/>
  <c r="P35" i="1"/>
  <c r="Q35" i="1" a="1"/>
  <c r="Q35" i="1"/>
  <c r="R35" i="1" a="1"/>
  <c r="R35" i="1"/>
  <c r="S35" i="1" a="1"/>
  <c r="S35" i="1"/>
  <c r="T35" i="1" a="1"/>
  <c r="T35" i="1"/>
  <c r="U35" i="1" a="1"/>
  <c r="U35" i="1"/>
  <c r="V35" i="1" a="1"/>
  <c r="V35" i="1"/>
  <c r="W35" i="1" a="1"/>
  <c r="W35" i="1"/>
  <c r="X35" i="1" a="1"/>
  <c r="X35" i="1"/>
  <c r="Y35" i="1" a="1"/>
  <c r="Y35" i="1"/>
  <c r="Z35" i="1" a="1"/>
  <c r="Z35" i="1"/>
  <c r="AA35" i="1" a="1"/>
  <c r="AA35" i="1"/>
  <c r="AB35" i="1" a="1"/>
  <c r="AB35" i="1"/>
  <c r="AC35" i="1" a="1"/>
  <c r="AC35" i="1"/>
  <c r="AD35" i="1" a="1"/>
  <c r="AD35" i="1"/>
  <c r="AE35" i="1" a="1"/>
  <c r="AE35" i="1"/>
  <c r="AF35" i="1" a="1"/>
  <c r="AF35" i="1"/>
  <c r="I37" i="1" a="1"/>
  <c r="I37" i="1"/>
  <c r="J37" i="1" a="1"/>
  <c r="J37" i="1"/>
  <c r="K37" i="1" a="1"/>
  <c r="K37" i="1"/>
  <c r="L37" i="1" a="1"/>
  <c r="L37" i="1"/>
  <c r="M37" i="1" a="1"/>
  <c r="M37" i="1"/>
  <c r="N37" i="1" a="1"/>
  <c r="N37" i="1"/>
  <c r="O37" i="1" a="1"/>
  <c r="O37" i="1"/>
  <c r="P37" i="1" a="1"/>
  <c r="P37" i="1"/>
  <c r="Q37" i="1" a="1"/>
  <c r="Q37" i="1"/>
  <c r="R37" i="1" a="1"/>
  <c r="R37" i="1"/>
  <c r="S37" i="1" a="1"/>
  <c r="S37" i="1"/>
  <c r="T37" i="1" a="1"/>
  <c r="T37" i="1"/>
  <c r="U37" i="1" a="1"/>
  <c r="U37" i="1"/>
  <c r="V37" i="1" a="1"/>
  <c r="V37" i="1"/>
  <c r="W37" i="1" a="1"/>
  <c r="W37" i="1"/>
  <c r="X37" i="1" a="1"/>
  <c r="X37" i="1"/>
  <c r="Y37" i="1" a="1"/>
  <c r="Y37" i="1"/>
  <c r="Z37" i="1" a="1"/>
  <c r="Z37" i="1"/>
  <c r="AA37" i="1" a="1"/>
  <c r="AA37" i="1"/>
  <c r="AB37" i="1" a="1"/>
  <c r="AB37" i="1"/>
  <c r="AC37" i="1" a="1"/>
  <c r="AC37" i="1"/>
  <c r="AD37" i="1" a="1"/>
  <c r="AD37" i="1"/>
  <c r="AE37" i="1" a="1"/>
  <c r="AE37" i="1"/>
  <c r="AF37" i="1" a="1"/>
  <c r="AF37" i="1"/>
  <c r="I39" i="1" a="1"/>
  <c r="I39" i="1"/>
  <c r="J39" i="1" a="1"/>
  <c r="J39" i="1"/>
  <c r="K39" i="1" a="1"/>
  <c r="K39" i="1"/>
  <c r="L39" i="1" a="1"/>
  <c r="L39" i="1"/>
  <c r="M39" i="1" a="1"/>
  <c r="M39" i="1"/>
  <c r="N39" i="1" a="1"/>
  <c r="N39" i="1"/>
  <c r="O39" i="1" a="1"/>
  <c r="O39" i="1"/>
  <c r="P39" i="1" a="1"/>
  <c r="P39" i="1"/>
  <c r="Q39" i="1" a="1"/>
  <c r="Q39" i="1"/>
  <c r="R39" i="1" a="1"/>
  <c r="R39" i="1"/>
  <c r="S39" i="1" a="1"/>
  <c r="S39" i="1"/>
  <c r="T39" i="1" a="1"/>
  <c r="T39" i="1"/>
  <c r="U39" i="1" a="1"/>
  <c r="U39" i="1"/>
  <c r="V39" i="1" a="1"/>
  <c r="V39" i="1"/>
  <c r="W39" i="1" a="1"/>
  <c r="W39" i="1"/>
  <c r="X39" i="1" a="1"/>
  <c r="X39" i="1"/>
  <c r="Y39" i="1" a="1"/>
  <c r="Y39" i="1"/>
  <c r="Z39" i="1" a="1"/>
  <c r="Z39" i="1"/>
  <c r="AA39" i="1" a="1"/>
  <c r="AA39" i="1"/>
  <c r="AB39" i="1" a="1"/>
  <c r="AB39" i="1"/>
  <c r="AC39" i="1" a="1"/>
  <c r="AC39" i="1"/>
  <c r="AD39" i="1" a="1"/>
  <c r="AD39" i="1"/>
  <c r="AE39" i="1" a="1"/>
  <c r="AE39" i="1"/>
  <c r="AF39" i="1" a="1"/>
  <c r="AF39" i="1"/>
  <c r="I41" i="1" a="1"/>
  <c r="I41" i="1"/>
  <c r="J41" i="1" a="1"/>
  <c r="J41" i="1"/>
  <c r="K41" i="1" a="1"/>
  <c r="K41" i="1"/>
  <c r="L41" i="1" a="1"/>
  <c r="L41" i="1"/>
  <c r="M41" i="1" a="1"/>
  <c r="M41" i="1"/>
  <c r="N41" i="1" a="1"/>
  <c r="N41" i="1"/>
  <c r="O41" i="1" a="1"/>
  <c r="O41" i="1"/>
  <c r="P41" i="1" a="1"/>
  <c r="P41" i="1"/>
  <c r="Q41" i="1" a="1"/>
  <c r="Q41" i="1"/>
  <c r="R41" i="1" a="1"/>
  <c r="R41" i="1"/>
  <c r="S41" i="1" a="1"/>
  <c r="S41" i="1"/>
  <c r="T41" i="1" a="1"/>
  <c r="T41" i="1"/>
  <c r="U41" i="1" a="1"/>
  <c r="U41" i="1"/>
  <c r="V41" i="1" a="1"/>
  <c r="V41" i="1"/>
  <c r="W41" i="1" a="1"/>
  <c r="W41" i="1"/>
  <c r="X41" i="1" a="1"/>
  <c r="X41" i="1"/>
  <c r="Y41" i="1" a="1"/>
  <c r="Y41" i="1"/>
  <c r="Z41" i="1" a="1"/>
  <c r="Z41" i="1"/>
  <c r="AA41" i="1" a="1"/>
  <c r="AA41" i="1"/>
  <c r="AB41" i="1" a="1"/>
  <c r="AB41" i="1"/>
  <c r="AC41" i="1" a="1"/>
  <c r="AC41" i="1"/>
  <c r="AD41" i="1" a="1"/>
  <c r="AD41" i="1"/>
  <c r="AE41" i="1" a="1"/>
  <c r="AE41" i="1"/>
  <c r="AF41" i="1" a="1"/>
  <c r="AF41" i="1"/>
  <c r="I43" i="1" a="1"/>
  <c r="I43" i="1"/>
  <c r="J43" i="1" a="1"/>
  <c r="J43" i="1"/>
  <c r="K43" i="1" a="1"/>
  <c r="K43" i="1"/>
  <c r="L43" i="1" a="1"/>
  <c r="L43" i="1"/>
  <c r="M43" i="1" a="1"/>
  <c r="M43" i="1"/>
  <c r="N43" i="1" a="1"/>
  <c r="N43" i="1"/>
  <c r="O43" i="1" a="1"/>
  <c r="O43" i="1"/>
  <c r="P43" i="1" a="1"/>
  <c r="P43" i="1"/>
  <c r="Q43" i="1" a="1"/>
  <c r="Q43" i="1"/>
  <c r="R43" i="1" a="1"/>
  <c r="R43" i="1"/>
  <c r="S43" i="1" a="1"/>
  <c r="S43" i="1"/>
  <c r="T43" i="1" a="1"/>
  <c r="T43" i="1"/>
  <c r="U43" i="1" a="1"/>
  <c r="U43" i="1"/>
  <c r="V43" i="1" a="1"/>
  <c r="V43" i="1"/>
  <c r="W43" i="1" a="1"/>
  <c r="W43" i="1"/>
  <c r="X43" i="1" a="1"/>
  <c r="X43" i="1"/>
  <c r="Y43" i="1" a="1"/>
  <c r="Y43" i="1"/>
  <c r="Z43" i="1" a="1"/>
  <c r="Z43" i="1"/>
  <c r="AA43" i="1" a="1"/>
  <c r="AA43" i="1"/>
  <c r="AB43" i="1" a="1"/>
  <c r="AB43" i="1"/>
  <c r="AC43" i="1" a="1"/>
  <c r="AC43" i="1"/>
  <c r="AD43" i="1" a="1"/>
  <c r="AD43" i="1"/>
  <c r="AE43" i="1" a="1"/>
  <c r="AE43" i="1"/>
  <c r="AF43" i="1" a="1"/>
  <c r="AF43" i="1"/>
  <c r="I45" i="1" a="1"/>
  <c r="I45" i="1"/>
  <c r="J45" i="1" a="1"/>
  <c r="J45" i="1"/>
  <c r="K45" i="1" a="1"/>
  <c r="K45" i="1"/>
  <c r="L45" i="1" a="1"/>
  <c r="L45" i="1"/>
  <c r="M45" i="1" a="1"/>
  <c r="M45" i="1"/>
  <c r="N45" i="1" a="1"/>
  <c r="N45" i="1"/>
  <c r="O45" i="1" a="1"/>
  <c r="O45" i="1"/>
  <c r="P45" i="1" a="1"/>
  <c r="P45" i="1"/>
  <c r="Q45" i="1" a="1"/>
  <c r="Q45" i="1"/>
  <c r="R45" i="1" a="1"/>
  <c r="R45" i="1"/>
  <c r="S45" i="1" a="1"/>
  <c r="S45" i="1"/>
  <c r="T45" i="1" a="1"/>
  <c r="T45" i="1"/>
  <c r="U45" i="1" a="1"/>
  <c r="U45" i="1"/>
  <c r="V45" i="1" a="1"/>
  <c r="V45" i="1"/>
  <c r="W45" i="1" a="1"/>
  <c r="W45" i="1"/>
  <c r="X45" i="1" a="1"/>
  <c r="X45" i="1"/>
  <c r="Y45" i="1" a="1"/>
  <c r="Y45" i="1"/>
  <c r="Z45" i="1" a="1"/>
  <c r="Z45" i="1"/>
  <c r="AA45" i="1" a="1"/>
  <c r="AA45" i="1"/>
  <c r="AB45" i="1" a="1"/>
  <c r="AB45" i="1"/>
  <c r="AC45" i="1" a="1"/>
  <c r="AC45" i="1"/>
  <c r="AD45" i="1" a="1"/>
  <c r="AD45" i="1"/>
  <c r="AE45" i="1" a="1"/>
  <c r="AE45" i="1"/>
  <c r="AF45" i="1" a="1"/>
  <c r="AF45" i="1"/>
  <c r="I47" i="1" a="1"/>
  <c r="I47" i="1"/>
  <c r="J47" i="1" a="1"/>
  <c r="J47" i="1"/>
  <c r="K47" i="1" a="1"/>
  <c r="K47" i="1"/>
  <c r="L47" i="1" a="1"/>
  <c r="L47" i="1"/>
  <c r="M47" i="1" a="1"/>
  <c r="M47" i="1"/>
  <c r="N47" i="1" a="1"/>
  <c r="N47" i="1"/>
  <c r="O47" i="1" a="1"/>
  <c r="O47" i="1"/>
  <c r="P47" i="1" a="1"/>
  <c r="P47" i="1"/>
  <c r="Q47" i="1" a="1"/>
  <c r="Q47" i="1"/>
  <c r="R47" i="1" a="1"/>
  <c r="R47" i="1"/>
  <c r="S47" i="1" a="1"/>
  <c r="S47" i="1"/>
  <c r="T47" i="1" a="1"/>
  <c r="T47" i="1"/>
  <c r="U47" i="1" a="1"/>
  <c r="U47" i="1"/>
  <c r="V47" i="1" a="1"/>
  <c r="V47" i="1"/>
  <c r="W47" i="1" a="1"/>
  <c r="W47" i="1"/>
  <c r="X47" i="1" a="1"/>
  <c r="X47" i="1"/>
  <c r="Y47" i="1" a="1"/>
  <c r="Y47" i="1"/>
  <c r="Z47" i="1" a="1"/>
  <c r="Z47" i="1"/>
  <c r="AA47" i="1" a="1"/>
  <c r="AA47" i="1"/>
  <c r="AB47" i="1" a="1"/>
  <c r="AB47" i="1"/>
  <c r="AC47" i="1" a="1"/>
  <c r="AC47" i="1"/>
  <c r="AD47" i="1" a="1"/>
  <c r="AD47" i="1"/>
  <c r="AE47" i="1" a="1"/>
  <c r="AE47" i="1"/>
  <c r="AF47" i="1" a="1"/>
  <c r="AF47" i="1"/>
  <c r="I49" i="1" a="1"/>
  <c r="I49" i="1"/>
  <c r="J49" i="1" a="1"/>
  <c r="J49" i="1"/>
  <c r="K49" i="1" a="1"/>
  <c r="K49" i="1"/>
  <c r="L49" i="1" a="1"/>
  <c r="L49" i="1"/>
  <c r="M49" i="1" a="1"/>
  <c r="M49" i="1"/>
  <c r="N49" i="1" a="1"/>
  <c r="N49" i="1"/>
  <c r="O49" i="1" a="1"/>
  <c r="O49" i="1"/>
  <c r="P49" i="1" a="1"/>
  <c r="P49" i="1"/>
  <c r="Q49" i="1" a="1"/>
  <c r="Q49" i="1"/>
  <c r="R49" i="1" a="1"/>
  <c r="R49" i="1"/>
  <c r="S49" i="1" a="1"/>
  <c r="S49" i="1"/>
  <c r="T49" i="1" a="1"/>
  <c r="T49" i="1"/>
  <c r="U49" i="1" a="1"/>
  <c r="U49" i="1"/>
  <c r="V49" i="1" a="1"/>
  <c r="V49" i="1"/>
  <c r="W49" i="1" a="1"/>
  <c r="W49" i="1"/>
  <c r="X49" i="1" a="1"/>
  <c r="X49" i="1"/>
  <c r="Y49" i="1" a="1"/>
  <c r="Y49" i="1"/>
  <c r="Z49" i="1" a="1"/>
  <c r="Z49" i="1"/>
  <c r="AA49" i="1" a="1"/>
  <c r="AA49" i="1"/>
  <c r="AB49" i="1" a="1"/>
  <c r="AB49" i="1"/>
  <c r="AC49" i="1" a="1"/>
  <c r="AC49" i="1"/>
  <c r="AD49" i="1" a="1"/>
  <c r="AD49" i="1"/>
  <c r="AE49" i="1" a="1"/>
  <c r="AE49" i="1"/>
  <c r="AF49" i="1" a="1"/>
  <c r="AF49" i="1"/>
  <c r="I51" i="1" a="1"/>
  <c r="I51" i="1"/>
  <c r="J51" i="1" a="1"/>
  <c r="J51" i="1"/>
  <c r="K51" i="1" a="1"/>
  <c r="K51" i="1"/>
  <c r="L51" i="1" a="1"/>
  <c r="L51" i="1"/>
  <c r="M51" i="1" a="1"/>
  <c r="M51" i="1"/>
  <c r="N51" i="1" a="1"/>
  <c r="N51" i="1"/>
  <c r="O51" i="1" a="1"/>
  <c r="O51" i="1"/>
  <c r="P51" i="1" a="1"/>
  <c r="P51" i="1"/>
  <c r="Q51" i="1" a="1"/>
  <c r="Q51" i="1"/>
  <c r="R51" i="1" a="1"/>
  <c r="R51" i="1"/>
  <c r="S51" i="1" a="1"/>
  <c r="S51" i="1"/>
  <c r="T51" i="1" a="1"/>
  <c r="T51" i="1"/>
  <c r="U51" i="1" a="1"/>
  <c r="U51" i="1"/>
  <c r="V51" i="1" a="1"/>
  <c r="V51" i="1"/>
  <c r="W51" i="1" a="1"/>
  <c r="W51" i="1"/>
  <c r="X51" i="1" a="1"/>
  <c r="X51" i="1"/>
  <c r="Y51" i="1" a="1"/>
  <c r="Y51" i="1"/>
  <c r="Z51" i="1" a="1"/>
  <c r="Z51" i="1"/>
  <c r="AA51" i="1" a="1"/>
  <c r="AA51" i="1"/>
  <c r="AB51" i="1" a="1"/>
  <c r="AB51" i="1"/>
  <c r="AC51" i="1" a="1"/>
  <c r="AC51" i="1"/>
  <c r="AD51" i="1" a="1"/>
  <c r="AD51" i="1"/>
  <c r="AE51" i="1" a="1"/>
  <c r="AE51" i="1"/>
  <c r="AF51" i="1" a="1"/>
  <c r="AF51" i="1"/>
  <c r="I53" i="1" a="1"/>
  <c r="I53" i="1"/>
  <c r="J53" i="1" a="1"/>
  <c r="J53" i="1"/>
  <c r="K53" i="1" a="1"/>
  <c r="K53" i="1"/>
  <c r="L53" i="1" a="1"/>
  <c r="L53" i="1"/>
  <c r="M53" i="1" a="1"/>
  <c r="M53" i="1"/>
  <c r="N53" i="1" a="1"/>
  <c r="N53" i="1"/>
  <c r="O53" i="1" a="1"/>
  <c r="O53" i="1"/>
  <c r="P53" i="1" a="1"/>
  <c r="P53" i="1"/>
  <c r="Q53" i="1" a="1"/>
  <c r="Q53" i="1"/>
  <c r="R53" i="1" a="1"/>
  <c r="R53" i="1"/>
  <c r="S53" i="1" a="1"/>
  <c r="S53" i="1"/>
  <c r="T53" i="1" a="1"/>
  <c r="T53" i="1"/>
  <c r="U53" i="1" a="1"/>
  <c r="U53" i="1"/>
  <c r="V53" i="1" a="1"/>
  <c r="V53" i="1"/>
  <c r="W53" i="1" a="1"/>
  <c r="W53" i="1"/>
  <c r="X53" i="1" a="1"/>
  <c r="X53" i="1"/>
  <c r="Y53" i="1" a="1"/>
  <c r="Y53" i="1"/>
  <c r="Z53" i="1" a="1"/>
  <c r="Z53" i="1"/>
  <c r="AA53" i="1" a="1"/>
  <c r="AA53" i="1"/>
  <c r="AB53" i="1" a="1"/>
  <c r="AB53" i="1"/>
  <c r="AC53" i="1" a="1"/>
  <c r="AC53" i="1"/>
  <c r="AD53" i="1" a="1"/>
  <c r="AD53" i="1"/>
  <c r="AE53" i="1" a="1"/>
  <c r="AE53" i="1"/>
  <c r="AF53" i="1" a="1"/>
  <c r="AF53" i="1"/>
  <c r="I55" i="1" a="1"/>
  <c r="I55" i="1"/>
  <c r="J55" i="1" a="1"/>
  <c r="J55" i="1"/>
  <c r="K55" i="1" a="1"/>
  <c r="K55" i="1"/>
  <c r="L55" i="1" a="1"/>
  <c r="L55" i="1"/>
  <c r="M55" i="1" a="1"/>
  <c r="M55" i="1"/>
  <c r="N55" i="1" a="1"/>
  <c r="N55" i="1"/>
  <c r="O55" i="1" a="1"/>
  <c r="O55" i="1"/>
  <c r="P55" i="1" a="1"/>
  <c r="P55" i="1"/>
  <c r="Q55" i="1" a="1"/>
  <c r="Q55" i="1"/>
  <c r="R55" i="1" a="1"/>
  <c r="R55" i="1"/>
  <c r="S55" i="1" a="1"/>
  <c r="S55" i="1"/>
  <c r="T55" i="1" a="1"/>
  <c r="T55" i="1"/>
  <c r="U55" i="1" a="1"/>
  <c r="U55" i="1"/>
  <c r="V55" i="1" a="1"/>
  <c r="V55" i="1"/>
  <c r="W55" i="1" a="1"/>
  <c r="W55" i="1"/>
  <c r="X55" i="1" a="1"/>
  <c r="X55" i="1"/>
  <c r="Y55" i="1" a="1"/>
  <c r="Y55" i="1"/>
  <c r="Z55" i="1" a="1"/>
  <c r="Z55" i="1"/>
  <c r="AA55" i="1" a="1"/>
  <c r="AA55" i="1"/>
  <c r="AB55" i="1" a="1"/>
  <c r="AB55" i="1"/>
  <c r="AC55" i="1" a="1"/>
  <c r="AC55" i="1"/>
  <c r="AD55" i="1" a="1"/>
  <c r="AD55" i="1"/>
  <c r="AE55" i="1" a="1"/>
  <c r="AE55" i="1"/>
  <c r="AF55" i="1" a="1"/>
  <c r="AF55" i="1"/>
  <c r="I57" i="1" a="1"/>
  <c r="I57" i="1"/>
  <c r="J57" i="1" a="1"/>
  <c r="J57" i="1"/>
  <c r="K57" i="1" a="1"/>
  <c r="K57" i="1"/>
  <c r="L57" i="1" a="1"/>
  <c r="L57" i="1"/>
  <c r="M57" i="1" a="1"/>
  <c r="M57" i="1"/>
  <c r="N57" i="1" a="1"/>
  <c r="N57" i="1"/>
  <c r="O57" i="1" a="1"/>
  <c r="O57" i="1"/>
  <c r="P57" i="1" a="1"/>
  <c r="P57" i="1"/>
  <c r="Q57" i="1" a="1"/>
  <c r="Q57" i="1"/>
  <c r="R57" i="1" a="1"/>
  <c r="R57" i="1"/>
  <c r="S57" i="1" a="1"/>
  <c r="S57" i="1"/>
  <c r="T57" i="1" a="1"/>
  <c r="T57" i="1"/>
  <c r="U57" i="1" a="1"/>
  <c r="U57" i="1"/>
  <c r="V57" i="1" a="1"/>
  <c r="V57" i="1"/>
  <c r="W57" i="1" a="1"/>
  <c r="W57" i="1"/>
  <c r="X57" i="1" a="1"/>
  <c r="X57" i="1"/>
  <c r="Y57" i="1" a="1"/>
  <c r="Y57" i="1"/>
  <c r="Z57" i="1" a="1"/>
  <c r="Z57" i="1"/>
  <c r="AA57" i="1" a="1"/>
  <c r="AA57" i="1"/>
  <c r="AB57" i="1" a="1"/>
  <c r="AB57" i="1"/>
  <c r="AC57" i="1" a="1"/>
  <c r="AC57" i="1"/>
  <c r="AD57" i="1" a="1"/>
  <c r="AD57" i="1"/>
  <c r="AE57" i="1" a="1"/>
  <c r="AE57" i="1"/>
  <c r="AF57" i="1" a="1"/>
  <c r="AF57" i="1"/>
  <c r="I59" i="1" a="1"/>
  <c r="I59" i="1"/>
  <c r="J59" i="1" a="1"/>
  <c r="J59" i="1"/>
  <c r="K59" i="1" a="1"/>
  <c r="K59" i="1"/>
  <c r="L59" i="1" a="1"/>
  <c r="L59" i="1"/>
  <c r="M59" i="1" a="1"/>
  <c r="M59" i="1"/>
  <c r="N59" i="1" a="1"/>
  <c r="N59" i="1"/>
  <c r="O59" i="1" a="1"/>
  <c r="O59" i="1"/>
  <c r="P59" i="1" a="1"/>
  <c r="P59" i="1"/>
  <c r="Q59" i="1" a="1"/>
  <c r="Q59" i="1"/>
  <c r="R59" i="1" a="1"/>
  <c r="R59" i="1"/>
  <c r="S59" i="1" a="1"/>
  <c r="S59" i="1"/>
  <c r="T59" i="1" a="1"/>
  <c r="T59" i="1"/>
  <c r="U59" i="1" a="1"/>
  <c r="U59" i="1"/>
  <c r="V59" i="1" a="1"/>
  <c r="V59" i="1"/>
  <c r="W59" i="1" a="1"/>
  <c r="W59" i="1"/>
  <c r="X59" i="1" a="1"/>
  <c r="X59" i="1"/>
  <c r="Y59" i="1" a="1"/>
  <c r="Y59" i="1"/>
  <c r="Z59" i="1" a="1"/>
  <c r="Z59" i="1"/>
  <c r="AA59" i="1" a="1"/>
  <c r="AA59" i="1"/>
  <c r="AB59" i="1" a="1"/>
  <c r="AB59" i="1"/>
  <c r="AC59" i="1" a="1"/>
  <c r="AC59" i="1"/>
  <c r="AD59" i="1" a="1"/>
  <c r="AD59" i="1"/>
  <c r="AE59" i="1" a="1"/>
  <c r="AE59" i="1"/>
  <c r="AF59" i="1" a="1"/>
  <c r="AF59" i="1"/>
  <c r="I61" i="1" a="1"/>
  <c r="I61" i="1"/>
  <c r="J61" i="1" a="1"/>
  <c r="J61" i="1"/>
  <c r="K61" i="1" a="1"/>
  <c r="K61" i="1"/>
  <c r="L61" i="1" a="1"/>
  <c r="L61" i="1"/>
  <c r="M61" i="1" a="1"/>
  <c r="M61" i="1"/>
  <c r="N61" i="1" a="1"/>
  <c r="N61" i="1"/>
  <c r="O61" i="1" a="1"/>
  <c r="O61" i="1"/>
  <c r="P61" i="1" a="1"/>
  <c r="P61" i="1"/>
  <c r="Q61" i="1" a="1"/>
  <c r="Q61" i="1"/>
  <c r="R61" i="1" a="1"/>
  <c r="R61" i="1"/>
  <c r="S61" i="1" a="1"/>
  <c r="S61" i="1"/>
  <c r="T61" i="1" a="1"/>
  <c r="T61" i="1"/>
  <c r="U61" i="1" a="1"/>
  <c r="U61" i="1"/>
  <c r="V61" i="1" a="1"/>
  <c r="V61" i="1"/>
  <c r="W61" i="1" a="1"/>
  <c r="W61" i="1"/>
  <c r="X61" i="1" a="1"/>
  <c r="X61" i="1"/>
  <c r="Y61" i="1" a="1"/>
  <c r="Y61" i="1"/>
  <c r="Z61" i="1" a="1"/>
  <c r="Z61" i="1"/>
  <c r="AA61" i="1" a="1"/>
  <c r="AA61" i="1"/>
  <c r="AB61" i="1" a="1"/>
  <c r="AB61" i="1"/>
  <c r="AC61" i="1" a="1"/>
  <c r="AC61" i="1"/>
  <c r="AD61" i="1" a="1"/>
  <c r="AD61" i="1"/>
  <c r="AE61" i="1" a="1"/>
  <c r="AE61" i="1"/>
  <c r="AF61" i="1" a="1"/>
  <c r="AF61" i="1"/>
  <c r="I63" i="1" a="1"/>
  <c r="I63" i="1"/>
  <c r="J63" i="1" a="1"/>
  <c r="J63" i="1"/>
  <c r="K63" i="1" a="1"/>
  <c r="K63" i="1"/>
  <c r="L63" i="1" a="1"/>
  <c r="L63" i="1"/>
  <c r="M63" i="1" a="1"/>
  <c r="M63" i="1"/>
  <c r="N63" i="1" a="1"/>
  <c r="N63" i="1"/>
  <c r="O63" i="1" a="1"/>
  <c r="O63" i="1"/>
  <c r="P63" i="1" a="1"/>
  <c r="P63" i="1"/>
  <c r="Q63" i="1" a="1"/>
  <c r="Q63" i="1"/>
  <c r="R63" i="1" a="1"/>
  <c r="R63" i="1"/>
  <c r="S63" i="1" a="1"/>
  <c r="S63" i="1"/>
  <c r="T63" i="1" a="1"/>
  <c r="T63" i="1"/>
  <c r="U63" i="1" a="1"/>
  <c r="U63" i="1"/>
  <c r="V63" i="1" a="1"/>
  <c r="V63" i="1"/>
  <c r="W63" i="1" a="1"/>
  <c r="W63" i="1"/>
  <c r="X63" i="1" a="1"/>
  <c r="X63" i="1"/>
  <c r="Y63" i="1" a="1"/>
  <c r="Y63" i="1"/>
  <c r="Z63" i="1" a="1"/>
  <c r="Z63" i="1"/>
  <c r="AA63" i="1" a="1"/>
  <c r="AA63" i="1"/>
  <c r="AB63" i="1" a="1"/>
  <c r="AB63" i="1"/>
  <c r="AC63" i="1" a="1"/>
  <c r="AC63" i="1"/>
  <c r="AD63" i="1" a="1"/>
  <c r="AD63" i="1"/>
  <c r="AE63" i="1" a="1"/>
  <c r="AE63" i="1"/>
  <c r="AF63" i="1" a="1"/>
  <c r="AF63" i="1"/>
  <c r="I65" i="1" a="1"/>
  <c r="I65" i="1"/>
  <c r="J65" i="1" a="1"/>
  <c r="J65" i="1"/>
  <c r="K65" i="1" a="1"/>
  <c r="K65" i="1"/>
  <c r="L65" i="1" a="1"/>
  <c r="L65" i="1"/>
  <c r="M65" i="1" a="1"/>
  <c r="M65" i="1"/>
  <c r="N65" i="1" a="1"/>
  <c r="N65" i="1"/>
  <c r="O65" i="1" a="1"/>
  <c r="O65" i="1"/>
  <c r="P65" i="1" a="1"/>
  <c r="P65" i="1"/>
  <c r="Q65" i="1" a="1"/>
  <c r="Q65" i="1"/>
  <c r="R65" i="1" a="1"/>
  <c r="R65" i="1"/>
  <c r="S65" i="1" a="1"/>
  <c r="S65" i="1"/>
  <c r="T65" i="1" a="1"/>
  <c r="T65" i="1"/>
  <c r="U65" i="1" a="1"/>
  <c r="U65" i="1"/>
  <c r="V65" i="1" a="1"/>
  <c r="V65" i="1"/>
  <c r="W65" i="1" a="1"/>
  <c r="W65" i="1"/>
  <c r="X65" i="1" a="1"/>
  <c r="X65" i="1"/>
  <c r="Y65" i="1" a="1"/>
  <c r="Y65" i="1"/>
  <c r="Z65" i="1" a="1"/>
  <c r="Z65" i="1"/>
  <c r="AA65" i="1" a="1"/>
  <c r="AA65" i="1"/>
  <c r="AB65" i="1" a="1"/>
  <c r="AB65" i="1"/>
  <c r="AC65" i="1" a="1"/>
  <c r="AC65" i="1"/>
  <c r="AD65" i="1" a="1"/>
  <c r="AD65" i="1"/>
  <c r="AE65" i="1" a="1"/>
  <c r="AE65" i="1"/>
  <c r="AF65" i="1" a="1"/>
  <c r="AF65" i="1"/>
  <c r="I67" i="1" a="1"/>
  <c r="I67" i="1"/>
  <c r="J67" i="1" a="1"/>
  <c r="J67" i="1"/>
  <c r="K67" i="1" a="1"/>
  <c r="K67" i="1"/>
  <c r="L67" i="1" a="1"/>
  <c r="L67" i="1"/>
  <c r="M67" i="1" a="1"/>
  <c r="M67" i="1"/>
  <c r="N67" i="1" a="1"/>
  <c r="N67" i="1"/>
  <c r="O67" i="1" a="1"/>
  <c r="O67" i="1"/>
  <c r="P67" i="1" a="1"/>
  <c r="P67" i="1"/>
  <c r="Q67" i="1" a="1"/>
  <c r="Q67" i="1"/>
  <c r="R67" i="1" a="1"/>
  <c r="R67" i="1"/>
  <c r="S67" i="1" a="1"/>
  <c r="S67" i="1"/>
  <c r="T67" i="1" a="1"/>
  <c r="T67" i="1"/>
  <c r="U67" i="1" a="1"/>
  <c r="U67" i="1"/>
  <c r="V67" i="1" a="1"/>
  <c r="V67" i="1"/>
  <c r="W67" i="1" a="1"/>
  <c r="W67" i="1"/>
  <c r="X67" i="1" a="1"/>
  <c r="X67" i="1"/>
  <c r="Y67" i="1" a="1"/>
  <c r="Y67" i="1"/>
  <c r="Z67" i="1" a="1"/>
  <c r="Z67" i="1"/>
  <c r="AA67" i="1" a="1"/>
  <c r="AA67" i="1"/>
  <c r="AB67" i="1" a="1"/>
  <c r="AB67" i="1"/>
  <c r="AC67" i="1" a="1"/>
  <c r="AC67" i="1"/>
  <c r="AD67" i="1" a="1"/>
  <c r="AD67" i="1"/>
  <c r="AE67" i="1" a="1"/>
  <c r="AE67" i="1"/>
  <c r="AF67" i="1" a="1"/>
  <c r="AF67" i="1"/>
  <c r="I69" i="1" a="1"/>
  <c r="I69" i="1"/>
  <c r="J69" i="1" a="1"/>
  <c r="J69" i="1"/>
  <c r="K69" i="1" a="1"/>
  <c r="K69" i="1"/>
  <c r="L69" i="1" a="1"/>
  <c r="L69" i="1"/>
  <c r="M69" i="1" a="1"/>
  <c r="M69" i="1"/>
  <c r="N69" i="1" a="1"/>
  <c r="N69" i="1"/>
  <c r="O69" i="1" a="1"/>
  <c r="O69" i="1"/>
  <c r="P69" i="1" a="1"/>
  <c r="P69" i="1"/>
  <c r="Q69" i="1" a="1"/>
  <c r="Q69" i="1"/>
  <c r="R69" i="1" a="1"/>
  <c r="R69" i="1"/>
  <c r="S69" i="1" a="1"/>
  <c r="S69" i="1"/>
  <c r="T69" i="1" a="1"/>
  <c r="T69" i="1"/>
  <c r="U69" i="1" a="1"/>
  <c r="U69" i="1"/>
  <c r="V69" i="1" a="1"/>
  <c r="V69" i="1"/>
  <c r="W69" i="1" a="1"/>
  <c r="W69" i="1"/>
  <c r="X69" i="1" a="1"/>
  <c r="X69" i="1"/>
  <c r="Y69" i="1" a="1"/>
  <c r="Y69" i="1"/>
  <c r="Z69" i="1" a="1"/>
  <c r="Z69" i="1"/>
  <c r="AA69" i="1" a="1"/>
  <c r="AA69" i="1"/>
  <c r="AB69" i="1" a="1"/>
  <c r="AB69" i="1"/>
  <c r="AC69" i="1" a="1"/>
  <c r="AC69" i="1"/>
  <c r="AD69" i="1" a="1"/>
  <c r="AD69" i="1"/>
  <c r="AE69" i="1" a="1"/>
  <c r="AE69" i="1"/>
  <c r="AF69" i="1" a="1"/>
  <c r="AF69" i="1"/>
  <c r="I71" i="1" a="1"/>
  <c r="I71" i="1"/>
  <c r="J71" i="1" a="1"/>
  <c r="J71" i="1"/>
  <c r="K71" i="1" a="1"/>
  <c r="K71" i="1"/>
  <c r="L71" i="1" a="1"/>
  <c r="L71" i="1"/>
  <c r="M71" i="1" a="1"/>
  <c r="M71" i="1"/>
  <c r="N71" i="1" a="1"/>
  <c r="N71" i="1"/>
  <c r="O71" i="1" a="1"/>
  <c r="O71" i="1"/>
  <c r="P71" i="1" a="1"/>
  <c r="P71" i="1"/>
  <c r="Q71" i="1" a="1"/>
  <c r="Q71" i="1"/>
  <c r="R71" i="1" a="1"/>
  <c r="R71" i="1"/>
  <c r="S71" i="1" a="1"/>
  <c r="S71" i="1"/>
  <c r="T71" i="1" a="1"/>
  <c r="T71" i="1"/>
  <c r="U71" i="1" a="1"/>
  <c r="U71" i="1"/>
  <c r="V71" i="1" a="1"/>
  <c r="V71" i="1"/>
  <c r="W71" i="1" a="1"/>
  <c r="W71" i="1"/>
  <c r="X71" i="1" a="1"/>
  <c r="X71" i="1"/>
  <c r="Y71" i="1" a="1"/>
  <c r="Y71" i="1"/>
  <c r="Z71" i="1" a="1"/>
  <c r="Z71" i="1"/>
  <c r="AA71" i="1" a="1"/>
  <c r="AA71" i="1"/>
  <c r="AB71" i="1" a="1"/>
  <c r="AB71" i="1"/>
  <c r="AC71" i="1" a="1"/>
  <c r="AC71" i="1"/>
  <c r="AD71" i="1" a="1"/>
  <c r="AD71" i="1"/>
  <c r="AE71" i="1" a="1"/>
  <c r="AE71" i="1"/>
  <c r="AF71" i="1" a="1"/>
  <c r="AF71" i="1"/>
  <c r="I73" i="1" a="1"/>
  <c r="I73" i="1"/>
  <c r="J73" i="1" a="1"/>
  <c r="J73" i="1"/>
  <c r="K73" i="1" a="1"/>
  <c r="K73" i="1"/>
  <c r="L73" i="1" a="1"/>
  <c r="L73" i="1"/>
  <c r="M73" i="1" a="1"/>
  <c r="M73" i="1"/>
  <c r="N73" i="1" a="1"/>
  <c r="N73" i="1"/>
  <c r="O73" i="1" a="1"/>
  <c r="O73" i="1"/>
  <c r="P73" i="1" a="1"/>
  <c r="P73" i="1"/>
  <c r="Q73" i="1" a="1"/>
  <c r="Q73" i="1"/>
  <c r="R73" i="1" a="1"/>
  <c r="R73" i="1"/>
  <c r="S73" i="1" a="1"/>
  <c r="S73" i="1"/>
  <c r="T73" i="1" a="1"/>
  <c r="T73" i="1"/>
  <c r="U73" i="1" a="1"/>
  <c r="U73" i="1"/>
  <c r="V73" i="1" a="1"/>
  <c r="V73" i="1"/>
  <c r="W73" i="1" a="1"/>
  <c r="W73" i="1"/>
  <c r="X73" i="1" a="1"/>
  <c r="X73" i="1"/>
  <c r="Y73" i="1" a="1"/>
  <c r="Y73" i="1"/>
  <c r="Z73" i="1" a="1"/>
  <c r="Z73" i="1"/>
  <c r="AA73" i="1" a="1"/>
  <c r="AA73" i="1"/>
  <c r="AB73" i="1" a="1"/>
  <c r="AB73" i="1"/>
  <c r="AC73" i="1" a="1"/>
  <c r="AC73" i="1"/>
  <c r="AD73" i="1" a="1"/>
  <c r="AD73" i="1"/>
  <c r="AE73" i="1" a="1"/>
  <c r="AE73" i="1"/>
  <c r="AF73" i="1" a="1"/>
  <c r="AF73" i="1"/>
  <c r="I75" i="1" a="1"/>
  <c r="I75" i="1"/>
  <c r="J75" i="1" a="1"/>
  <c r="J75" i="1"/>
  <c r="K75" i="1" a="1"/>
  <c r="K75" i="1"/>
  <c r="L75" i="1" a="1"/>
  <c r="L75" i="1"/>
  <c r="M75" i="1" a="1"/>
  <c r="M75" i="1"/>
  <c r="N75" i="1" a="1"/>
  <c r="N75" i="1"/>
  <c r="O75" i="1" a="1"/>
  <c r="O75" i="1"/>
  <c r="P75" i="1" a="1"/>
  <c r="P75" i="1"/>
  <c r="Q75" i="1" a="1"/>
  <c r="Q75" i="1"/>
  <c r="R75" i="1" a="1"/>
  <c r="R75" i="1"/>
  <c r="S75" i="1" a="1"/>
  <c r="S75" i="1"/>
  <c r="T75" i="1" a="1"/>
  <c r="T75" i="1"/>
  <c r="U75" i="1" a="1"/>
  <c r="U75" i="1"/>
  <c r="V75" i="1" a="1"/>
  <c r="V75" i="1"/>
  <c r="W75" i="1" a="1"/>
  <c r="W75" i="1"/>
  <c r="X75" i="1" a="1"/>
  <c r="X75" i="1"/>
  <c r="Y75" i="1" a="1"/>
  <c r="Y75" i="1"/>
  <c r="Z75" i="1" a="1"/>
  <c r="Z75" i="1"/>
  <c r="AA75" i="1" a="1"/>
  <c r="AA75" i="1"/>
  <c r="AB75" i="1" a="1"/>
  <c r="AB75" i="1"/>
  <c r="AC75" i="1" a="1"/>
  <c r="AC75" i="1"/>
  <c r="AD75" i="1" a="1"/>
  <c r="AD75" i="1"/>
  <c r="AE75" i="1" a="1"/>
  <c r="AE75" i="1"/>
  <c r="AF75" i="1" a="1"/>
  <c r="AF75" i="1"/>
  <c r="I77" i="1" a="1"/>
  <c r="I77" i="1"/>
  <c r="J77" i="1" a="1"/>
  <c r="J77" i="1"/>
  <c r="K77" i="1" a="1"/>
  <c r="K77" i="1"/>
  <c r="L77" i="1" a="1"/>
  <c r="L77" i="1"/>
  <c r="M77" i="1" a="1"/>
  <c r="M77" i="1"/>
  <c r="N77" i="1" a="1"/>
  <c r="N77" i="1"/>
  <c r="O77" i="1" a="1"/>
  <c r="O77" i="1"/>
  <c r="P77" i="1" a="1"/>
  <c r="P77" i="1"/>
  <c r="Q77" i="1" a="1"/>
  <c r="Q77" i="1"/>
  <c r="R77" i="1" a="1"/>
  <c r="R77" i="1"/>
  <c r="S77" i="1" a="1"/>
  <c r="S77" i="1"/>
  <c r="T77" i="1" a="1"/>
  <c r="T77" i="1"/>
  <c r="U77" i="1" a="1"/>
  <c r="U77" i="1"/>
  <c r="V77" i="1" a="1"/>
  <c r="V77" i="1"/>
  <c r="W77" i="1" a="1"/>
  <c r="W77" i="1"/>
  <c r="X77" i="1" a="1"/>
  <c r="X77" i="1"/>
  <c r="Y77" i="1" a="1"/>
  <c r="Y77" i="1"/>
  <c r="Z77" i="1" a="1"/>
  <c r="Z77" i="1"/>
  <c r="AA77" i="1" a="1"/>
  <c r="AA77" i="1"/>
  <c r="AB77" i="1" a="1"/>
  <c r="AB77" i="1"/>
  <c r="AC77" i="1" a="1"/>
  <c r="AC77" i="1"/>
  <c r="AD77" i="1" a="1"/>
  <c r="AD77" i="1"/>
  <c r="AE77" i="1" a="1"/>
  <c r="AE77" i="1"/>
  <c r="AF77" i="1" a="1"/>
  <c r="AF77" i="1"/>
  <c r="I79" i="1" a="1"/>
  <c r="I79" i="1"/>
  <c r="J79" i="1" a="1"/>
  <c r="J79" i="1"/>
  <c r="K79" i="1" a="1"/>
  <c r="K79" i="1"/>
  <c r="L79" i="1" a="1"/>
  <c r="L79" i="1"/>
  <c r="M79" i="1" a="1"/>
  <c r="M79" i="1"/>
  <c r="N79" i="1" a="1"/>
  <c r="N79" i="1"/>
  <c r="O79" i="1" a="1"/>
  <c r="O79" i="1"/>
  <c r="P79" i="1" a="1"/>
  <c r="P79" i="1"/>
  <c r="Q79" i="1" a="1"/>
  <c r="Q79" i="1"/>
  <c r="R79" i="1" a="1"/>
  <c r="R79" i="1"/>
  <c r="S79" i="1" a="1"/>
  <c r="S79" i="1"/>
  <c r="T79" i="1" a="1"/>
  <c r="T79" i="1"/>
  <c r="U79" i="1" a="1"/>
  <c r="U79" i="1"/>
  <c r="V79" i="1" a="1"/>
  <c r="V79" i="1"/>
  <c r="W79" i="1" a="1"/>
  <c r="W79" i="1"/>
  <c r="X79" i="1" a="1"/>
  <c r="X79" i="1"/>
  <c r="Y79" i="1" a="1"/>
  <c r="Y79" i="1"/>
  <c r="Z79" i="1" a="1"/>
  <c r="Z79" i="1"/>
  <c r="AA79" i="1" a="1"/>
  <c r="AA79" i="1"/>
  <c r="AB79" i="1" a="1"/>
  <c r="AB79" i="1"/>
  <c r="AC79" i="1" a="1"/>
  <c r="AC79" i="1"/>
  <c r="AD79" i="1" a="1"/>
  <c r="AD79" i="1"/>
  <c r="AE79" i="1" a="1"/>
  <c r="AE79" i="1"/>
  <c r="AF79" i="1" a="1"/>
  <c r="AF79" i="1"/>
  <c r="I81" i="1" a="1"/>
  <c r="I81" i="1"/>
  <c r="J81" i="1" a="1"/>
  <c r="J81" i="1"/>
  <c r="K81" i="1" a="1"/>
  <c r="K81" i="1"/>
  <c r="L81" i="1" a="1"/>
  <c r="L81" i="1"/>
  <c r="M81" i="1" a="1"/>
  <c r="M81" i="1"/>
  <c r="N81" i="1" a="1"/>
  <c r="N81" i="1"/>
  <c r="O81" i="1" a="1"/>
  <c r="O81" i="1"/>
  <c r="P81" i="1" a="1"/>
  <c r="P81" i="1"/>
  <c r="Q81" i="1" a="1"/>
  <c r="Q81" i="1"/>
  <c r="R81" i="1" a="1"/>
  <c r="R81" i="1"/>
  <c r="S81" i="1" a="1"/>
  <c r="S81" i="1"/>
  <c r="T81" i="1" a="1"/>
  <c r="T81" i="1"/>
  <c r="U81" i="1" a="1"/>
  <c r="U81" i="1"/>
  <c r="V81" i="1" a="1"/>
  <c r="V81" i="1"/>
  <c r="W81" i="1" a="1"/>
  <c r="W81" i="1"/>
  <c r="X81" i="1" a="1"/>
  <c r="X81" i="1"/>
  <c r="Y81" i="1" a="1"/>
  <c r="Y81" i="1"/>
  <c r="Z81" i="1" a="1"/>
  <c r="Z81" i="1"/>
  <c r="AA81" i="1" a="1"/>
  <c r="AA81" i="1"/>
  <c r="AB81" i="1" a="1"/>
  <c r="AB81" i="1"/>
  <c r="AC81" i="1" a="1"/>
  <c r="AC81" i="1"/>
  <c r="AD81" i="1" a="1"/>
  <c r="AD81" i="1"/>
  <c r="AE81" i="1" a="1"/>
  <c r="AE81" i="1"/>
  <c r="AF81" i="1" a="1"/>
  <c r="AF81" i="1"/>
  <c r="I83" i="1" a="1"/>
  <c r="I83" i="1"/>
  <c r="J83" i="1" a="1"/>
  <c r="J83" i="1"/>
  <c r="K83" i="1" a="1"/>
  <c r="K83" i="1"/>
  <c r="L83" i="1" a="1"/>
  <c r="L83" i="1"/>
  <c r="M83" i="1" a="1"/>
  <c r="M83" i="1"/>
  <c r="N83" i="1" a="1"/>
  <c r="N83" i="1"/>
  <c r="O83" i="1" a="1"/>
  <c r="O83" i="1"/>
  <c r="P83" i="1" a="1"/>
  <c r="P83" i="1"/>
  <c r="Q83" i="1" a="1"/>
  <c r="Q83" i="1"/>
  <c r="R83" i="1" a="1"/>
  <c r="R83" i="1"/>
  <c r="S83" i="1" a="1"/>
  <c r="S83" i="1"/>
  <c r="T83" i="1" a="1"/>
  <c r="T83" i="1"/>
  <c r="U83" i="1" a="1"/>
  <c r="U83" i="1"/>
  <c r="V83" i="1" a="1"/>
  <c r="V83" i="1"/>
  <c r="W83" i="1" a="1"/>
  <c r="W83" i="1"/>
  <c r="X83" i="1" a="1"/>
  <c r="X83" i="1"/>
  <c r="Y83" i="1" a="1"/>
  <c r="Y83" i="1"/>
  <c r="Z83" i="1" a="1"/>
  <c r="Z83" i="1"/>
  <c r="AA83" i="1" a="1"/>
  <c r="AA83" i="1"/>
  <c r="AB83" i="1" a="1"/>
  <c r="AB83" i="1"/>
  <c r="AC83" i="1" a="1"/>
  <c r="AC83" i="1"/>
  <c r="AD83" i="1" a="1"/>
  <c r="AD83" i="1"/>
  <c r="AE83" i="1" a="1"/>
  <c r="AE83" i="1"/>
  <c r="AF83" i="1" a="1"/>
  <c r="AF83" i="1"/>
  <c r="I85" i="1" a="1"/>
  <c r="I85" i="1"/>
  <c r="J85" i="1" a="1"/>
  <c r="J85" i="1"/>
  <c r="K85" i="1" a="1"/>
  <c r="K85" i="1"/>
  <c r="L85" i="1" a="1"/>
  <c r="L85" i="1"/>
  <c r="M85" i="1" a="1"/>
  <c r="M85" i="1"/>
  <c r="N85" i="1" a="1"/>
  <c r="N85" i="1"/>
  <c r="O85" i="1" a="1"/>
  <c r="O85" i="1"/>
  <c r="P85" i="1" a="1"/>
  <c r="P85" i="1"/>
  <c r="Q85" i="1" a="1"/>
  <c r="Q85" i="1"/>
  <c r="R85" i="1" a="1"/>
  <c r="R85" i="1"/>
  <c r="S85" i="1" a="1"/>
  <c r="S85" i="1"/>
  <c r="T85" i="1" a="1"/>
  <c r="T85" i="1"/>
  <c r="U85" i="1" a="1"/>
  <c r="U85" i="1"/>
  <c r="V85" i="1" a="1"/>
  <c r="V85" i="1"/>
  <c r="W85" i="1" a="1"/>
  <c r="W85" i="1"/>
  <c r="X85" i="1" a="1"/>
  <c r="X85" i="1"/>
  <c r="Y85" i="1" a="1"/>
  <c r="Y85" i="1"/>
  <c r="Z85" i="1" a="1"/>
  <c r="Z85" i="1"/>
  <c r="AA85" i="1" a="1"/>
  <c r="AA85" i="1"/>
  <c r="AB85" i="1" a="1"/>
  <c r="AB85" i="1"/>
  <c r="AC85" i="1" a="1"/>
  <c r="AC85" i="1"/>
  <c r="AD85" i="1" a="1"/>
  <c r="AD85" i="1"/>
  <c r="AE85" i="1" a="1"/>
  <c r="AE85" i="1"/>
  <c r="AF85" i="1" a="1"/>
  <c r="AF85" i="1"/>
  <c r="I87" i="1" a="1"/>
  <c r="I87" i="1"/>
  <c r="J87" i="1" a="1"/>
  <c r="J87" i="1"/>
  <c r="K87" i="1" a="1"/>
  <c r="K87" i="1"/>
  <c r="L87" i="1" a="1"/>
  <c r="L87" i="1"/>
  <c r="M87" i="1" a="1"/>
  <c r="M87" i="1"/>
  <c r="N87" i="1" a="1"/>
  <c r="N87" i="1"/>
  <c r="O87" i="1" a="1"/>
  <c r="O87" i="1"/>
  <c r="P87" i="1" a="1"/>
  <c r="P87" i="1"/>
  <c r="Q87" i="1" a="1"/>
  <c r="Q87" i="1"/>
  <c r="R87" i="1" a="1"/>
  <c r="R87" i="1"/>
  <c r="S87" i="1" a="1"/>
  <c r="S87" i="1"/>
  <c r="T87" i="1" a="1"/>
  <c r="T87" i="1"/>
  <c r="U87" i="1" a="1"/>
  <c r="U87" i="1"/>
  <c r="V87" i="1" a="1"/>
  <c r="V87" i="1"/>
  <c r="W87" i="1" a="1"/>
  <c r="W87" i="1"/>
  <c r="X87" i="1" a="1"/>
  <c r="X87" i="1"/>
  <c r="Y87" i="1" a="1"/>
  <c r="Y87" i="1"/>
  <c r="Z87" i="1" a="1"/>
  <c r="Z87" i="1"/>
  <c r="AA87" i="1" a="1"/>
  <c r="AA87" i="1"/>
  <c r="AB87" i="1" a="1"/>
  <c r="AB87" i="1"/>
  <c r="AC87" i="1" a="1"/>
  <c r="AC87" i="1"/>
  <c r="AD87" i="1" a="1"/>
  <c r="AD87" i="1"/>
  <c r="AE87" i="1" a="1"/>
  <c r="AE87" i="1"/>
  <c r="AF87" i="1" a="1"/>
  <c r="AF87" i="1"/>
  <c r="I89" i="1" a="1"/>
  <c r="I89" i="1"/>
  <c r="J89" i="1" a="1"/>
  <c r="J89" i="1"/>
  <c r="K89" i="1" a="1"/>
  <c r="K89" i="1"/>
  <c r="L89" i="1" a="1"/>
  <c r="L89" i="1"/>
  <c r="M89" i="1" a="1"/>
  <c r="M89" i="1"/>
  <c r="N89" i="1" a="1"/>
  <c r="N89" i="1"/>
  <c r="O89" i="1" a="1"/>
  <c r="O89" i="1"/>
  <c r="P89" i="1" a="1"/>
  <c r="P89" i="1"/>
  <c r="Q89" i="1" a="1"/>
  <c r="Q89" i="1"/>
  <c r="R89" i="1" a="1"/>
  <c r="R89" i="1"/>
  <c r="S89" i="1" a="1"/>
  <c r="S89" i="1"/>
  <c r="T89" i="1" a="1"/>
  <c r="T89" i="1"/>
  <c r="U89" i="1" a="1"/>
  <c r="U89" i="1"/>
  <c r="V89" i="1" a="1"/>
  <c r="V89" i="1"/>
  <c r="W89" i="1" a="1"/>
  <c r="W89" i="1"/>
  <c r="X89" i="1" a="1"/>
  <c r="X89" i="1"/>
  <c r="Y89" i="1" a="1"/>
  <c r="Y89" i="1"/>
  <c r="Z89" i="1" a="1"/>
  <c r="Z89" i="1"/>
  <c r="AA89" i="1" a="1"/>
  <c r="AA89" i="1"/>
  <c r="AB89" i="1" a="1"/>
  <c r="AB89" i="1"/>
  <c r="AC89" i="1" a="1"/>
  <c r="AC89" i="1"/>
  <c r="AD89" i="1" a="1"/>
  <c r="AD89" i="1"/>
  <c r="AE89" i="1" a="1"/>
  <c r="AE89" i="1"/>
  <c r="AF89" i="1" a="1"/>
  <c r="AF89" i="1"/>
  <c r="I91" i="1" a="1"/>
  <c r="I91" i="1"/>
  <c r="J91" i="1" a="1"/>
  <c r="J91" i="1"/>
  <c r="K91" i="1" a="1"/>
  <c r="K91" i="1"/>
  <c r="L91" i="1" a="1"/>
  <c r="L91" i="1"/>
  <c r="M91" i="1" a="1"/>
  <c r="M91" i="1"/>
  <c r="N91" i="1" a="1"/>
  <c r="N91" i="1"/>
  <c r="O91" i="1" a="1"/>
  <c r="O91" i="1"/>
  <c r="P91" i="1" a="1"/>
  <c r="P91" i="1"/>
  <c r="Q91" i="1" a="1"/>
  <c r="Q91" i="1"/>
  <c r="R91" i="1" a="1"/>
  <c r="R91" i="1"/>
  <c r="S91" i="1" a="1"/>
  <c r="S91" i="1"/>
  <c r="T91" i="1" a="1"/>
  <c r="T91" i="1"/>
  <c r="U91" i="1" a="1"/>
  <c r="U91" i="1"/>
  <c r="V91" i="1" a="1"/>
  <c r="V91" i="1"/>
  <c r="W91" i="1" a="1"/>
  <c r="W91" i="1"/>
  <c r="X91" i="1" a="1"/>
  <c r="X91" i="1"/>
  <c r="Y91" i="1" a="1"/>
  <c r="Y91" i="1"/>
  <c r="Z91" i="1" a="1"/>
  <c r="Z91" i="1"/>
  <c r="AA91" i="1" a="1"/>
  <c r="AA91" i="1"/>
  <c r="AB91" i="1" a="1"/>
  <c r="AB91" i="1"/>
  <c r="AC91" i="1" a="1"/>
  <c r="AC91" i="1"/>
  <c r="AD91" i="1" a="1"/>
  <c r="AD91" i="1"/>
  <c r="AE91" i="1" a="1"/>
  <c r="AE91" i="1"/>
  <c r="AF91" i="1" a="1"/>
  <c r="AF91" i="1"/>
  <c r="I93" i="1" a="1"/>
  <c r="I93" i="1"/>
  <c r="J93" i="1" a="1"/>
  <c r="J93" i="1"/>
  <c r="K93" i="1" a="1"/>
  <c r="K93" i="1"/>
  <c r="L93" i="1" a="1"/>
  <c r="L93" i="1"/>
  <c r="M93" i="1" a="1"/>
  <c r="M93" i="1"/>
  <c r="N93" i="1" a="1"/>
  <c r="N93" i="1"/>
  <c r="O93" i="1" a="1"/>
  <c r="O93" i="1"/>
  <c r="P93" i="1" a="1"/>
  <c r="P93" i="1"/>
  <c r="Q93" i="1" a="1"/>
  <c r="Q93" i="1"/>
  <c r="R93" i="1" a="1"/>
  <c r="R93" i="1"/>
  <c r="S93" i="1" a="1"/>
  <c r="S93" i="1"/>
  <c r="T93" i="1" a="1"/>
  <c r="T93" i="1"/>
  <c r="U93" i="1" a="1"/>
  <c r="U93" i="1"/>
  <c r="V93" i="1" a="1"/>
  <c r="V93" i="1"/>
  <c r="W93" i="1" a="1"/>
  <c r="W93" i="1"/>
  <c r="X93" i="1" a="1"/>
  <c r="X93" i="1"/>
  <c r="Y93" i="1" a="1"/>
  <c r="Y93" i="1"/>
  <c r="Z93" i="1" a="1"/>
  <c r="Z93" i="1"/>
  <c r="AA93" i="1" a="1"/>
  <c r="AA93" i="1"/>
  <c r="AB93" i="1" a="1"/>
  <c r="AB93" i="1"/>
  <c r="AC93" i="1" a="1"/>
  <c r="AC93" i="1"/>
  <c r="AD93" i="1" a="1"/>
  <c r="AD93" i="1"/>
  <c r="AE93" i="1" a="1"/>
  <c r="AE93" i="1"/>
  <c r="AF93" i="1" a="1"/>
  <c r="AF93" i="1"/>
  <c r="I95" i="1" a="1"/>
  <c r="I95" i="1"/>
  <c r="J95" i="1" a="1"/>
  <c r="J95" i="1"/>
  <c r="K95" i="1" a="1"/>
  <c r="K95" i="1"/>
  <c r="L95" i="1" a="1"/>
  <c r="L95" i="1"/>
  <c r="M95" i="1" a="1"/>
  <c r="M95" i="1"/>
  <c r="N95" i="1" a="1"/>
  <c r="N95" i="1"/>
  <c r="O95" i="1" a="1"/>
  <c r="O95" i="1"/>
  <c r="P95" i="1" a="1"/>
  <c r="P95" i="1"/>
  <c r="Q95" i="1" a="1"/>
  <c r="Q95" i="1"/>
  <c r="R95" i="1" a="1"/>
  <c r="R95" i="1"/>
  <c r="S95" i="1" a="1"/>
  <c r="S95" i="1"/>
  <c r="T95" i="1" a="1"/>
  <c r="T95" i="1"/>
  <c r="U95" i="1" a="1"/>
  <c r="U95" i="1"/>
  <c r="V95" i="1" a="1"/>
  <c r="V95" i="1"/>
  <c r="W95" i="1" a="1"/>
  <c r="W95" i="1"/>
  <c r="X95" i="1" a="1"/>
  <c r="X95" i="1"/>
  <c r="Y95" i="1" a="1"/>
  <c r="Y95" i="1"/>
  <c r="Z95" i="1" a="1"/>
  <c r="Z95" i="1"/>
  <c r="AA95" i="1" a="1"/>
  <c r="AA95" i="1"/>
  <c r="AB95" i="1" a="1"/>
  <c r="AB95" i="1"/>
  <c r="AC95" i="1" a="1"/>
  <c r="AC95" i="1"/>
  <c r="AD95" i="1" a="1"/>
  <c r="AD95" i="1"/>
  <c r="AE95" i="1" a="1"/>
  <c r="AE95" i="1"/>
  <c r="AF95" i="1" a="1"/>
  <c r="AF95" i="1"/>
  <c r="I97" i="1" a="1"/>
  <c r="I97" i="1"/>
  <c r="J97" i="1" a="1"/>
  <c r="J97" i="1"/>
  <c r="K97" i="1" a="1"/>
  <c r="K97" i="1"/>
  <c r="L97" i="1" a="1"/>
  <c r="L97" i="1"/>
  <c r="M97" i="1" a="1"/>
  <c r="M97" i="1"/>
  <c r="N97" i="1" a="1"/>
  <c r="N97" i="1"/>
  <c r="O97" i="1" a="1"/>
  <c r="O97" i="1"/>
  <c r="P97" i="1" a="1"/>
  <c r="P97" i="1"/>
  <c r="Q97" i="1" a="1"/>
  <c r="Q97" i="1"/>
  <c r="R97" i="1" a="1"/>
  <c r="R97" i="1"/>
  <c r="S97" i="1" a="1"/>
  <c r="S97" i="1"/>
  <c r="T97" i="1" a="1"/>
  <c r="T97" i="1"/>
  <c r="U97" i="1" a="1"/>
  <c r="U97" i="1"/>
  <c r="V97" i="1" a="1"/>
  <c r="V97" i="1"/>
  <c r="W97" i="1" a="1"/>
  <c r="W97" i="1"/>
  <c r="X97" i="1" a="1"/>
  <c r="X97" i="1"/>
  <c r="Y97" i="1" a="1"/>
  <c r="Y97" i="1"/>
  <c r="Z97" i="1" a="1"/>
  <c r="Z97" i="1"/>
  <c r="AA97" i="1" a="1"/>
  <c r="AA97" i="1"/>
  <c r="AB97" i="1" a="1"/>
  <c r="AB97" i="1"/>
  <c r="AC97" i="1" a="1"/>
  <c r="AC97" i="1"/>
  <c r="AD97" i="1" a="1"/>
  <c r="AD97" i="1"/>
  <c r="AE97" i="1" a="1"/>
  <c r="AE97" i="1"/>
  <c r="AF97" i="1" a="1"/>
  <c r="AF97" i="1"/>
  <c r="J7" i="1" a="1"/>
  <c r="J7" i="1" s="1"/>
  <c r="K7" i="1" a="1"/>
  <c r="K7" i="1" s="1"/>
  <c r="L7" i="1" a="1"/>
  <c r="L7" i="1"/>
  <c r="M7" i="1" a="1"/>
  <c r="M7" i="1" s="1"/>
  <c r="N7" i="1" a="1"/>
  <c r="N7" i="1" s="1"/>
  <c r="O7" i="1" a="1"/>
  <c r="O7" i="1" s="1"/>
  <c r="P7" i="1" a="1"/>
  <c r="P7" i="1" s="1"/>
  <c r="Q7" i="1" a="1"/>
  <c r="Q7" i="1" s="1"/>
  <c r="R7" i="1" a="1"/>
  <c r="R7" i="1" s="1"/>
  <c r="S7" i="1" a="1"/>
  <c r="S7" i="1" s="1"/>
  <c r="T7" i="1" a="1"/>
  <c r="T7" i="1" s="1"/>
  <c r="U7" i="1" a="1"/>
  <c r="U7" i="1"/>
  <c r="V7" i="1" a="1"/>
  <c r="V7" i="1" s="1"/>
  <c r="W7" i="1" a="1"/>
  <c r="W7" i="1"/>
  <c r="X7" i="1" a="1"/>
  <c r="X7" i="1"/>
  <c r="Y7" i="1" a="1"/>
  <c r="Y7" i="1"/>
  <c r="Z7" i="1" a="1"/>
  <c r="Z7" i="1" s="1"/>
  <c r="AA7" i="1" a="1"/>
  <c r="AA7" i="1" s="1"/>
  <c r="AB7" i="1" a="1"/>
  <c r="AB7" i="1" s="1"/>
  <c r="AC7" i="1" a="1"/>
  <c r="AC7" i="1"/>
  <c r="AD7" i="1" a="1"/>
  <c r="AD7" i="1"/>
  <c r="AE7" i="1" a="1"/>
  <c r="AE7" i="1"/>
  <c r="AF7" i="1" a="1"/>
  <c r="AF7" i="1"/>
  <c r="I7" i="1" a="1"/>
  <c r="I7" i="1"/>
  <c r="AH6" i="1"/>
  <c r="AK6" i="1"/>
  <c r="AG7" i="1" a="1"/>
  <c r="AG7" i="1"/>
  <c r="AH7" i="1" a="1"/>
  <c r="AH7" i="1" s="1"/>
  <c r="AI7" i="1" a="1"/>
  <c r="AI7" i="1"/>
  <c r="AJ7" i="1" a="1"/>
  <c r="AJ7" i="1"/>
  <c r="I4" i="1" a="1"/>
  <c r="I4" i="1" s="1"/>
  <c r="I3" i="1" a="1"/>
  <c r="I3" i="1" s="1"/>
  <c r="I2" i="1" a="1"/>
  <c r="I2" i="1" s="1"/>
  <c r="AJ78" i="1" a="1"/>
  <c r="AJ78" i="1" s="1"/>
  <c r="AJ77" i="1" a="1"/>
  <c r="AJ77" i="1" s="1"/>
  <c r="AJ76" i="1" a="1"/>
  <c r="AJ76" i="1" s="1"/>
  <c r="AJ75" i="1" a="1"/>
  <c r="AJ75" i="1" s="1"/>
  <c r="AJ74" i="1" a="1"/>
  <c r="AJ74" i="1" s="1"/>
  <c r="AJ73" i="1" a="1"/>
  <c r="AJ73" i="1" s="1"/>
  <c r="AJ72" i="1" a="1"/>
  <c r="AJ72" i="1" s="1"/>
  <c r="AJ71" i="1" a="1"/>
  <c r="AJ71" i="1" s="1"/>
  <c r="AJ70" i="1" a="1"/>
  <c r="AJ70" i="1" s="1"/>
  <c r="AJ69" i="1" a="1"/>
  <c r="AJ69" i="1" s="1"/>
  <c r="AJ68" i="1" a="1"/>
  <c r="AJ68" i="1" s="1"/>
  <c r="AJ67" i="1" a="1"/>
  <c r="AJ67" i="1" s="1"/>
  <c r="AJ66" i="1" a="1"/>
  <c r="AJ66" i="1" s="1"/>
  <c r="AJ65" i="1" a="1"/>
  <c r="AJ65" i="1" s="1"/>
  <c r="AJ64" i="1" a="1"/>
  <c r="AJ64" i="1" s="1"/>
  <c r="AJ63" i="1" a="1"/>
  <c r="AJ63" i="1" s="1"/>
  <c r="AJ62" i="1" a="1"/>
  <c r="AJ62" i="1" s="1"/>
  <c r="AJ61" i="1" a="1"/>
  <c r="AJ61" i="1" s="1"/>
  <c r="AJ60" i="1" a="1"/>
  <c r="AJ60" i="1" s="1"/>
  <c r="AJ59" i="1" a="1"/>
  <c r="AJ59" i="1" s="1"/>
  <c r="AJ58" i="1" a="1"/>
  <c r="AJ58" i="1" s="1"/>
  <c r="AJ57" i="1" a="1"/>
  <c r="AJ57" i="1" s="1"/>
  <c r="AJ56" i="1" a="1"/>
  <c r="AJ56" i="1" s="1"/>
  <c r="AJ55" i="1" a="1"/>
  <c r="AJ55" i="1" s="1"/>
  <c r="AJ54" i="1" a="1"/>
  <c r="AJ54" i="1" s="1"/>
  <c r="AJ53" i="1" a="1"/>
  <c r="AJ53" i="1" s="1"/>
  <c r="AJ52" i="1" a="1"/>
  <c r="AJ52" i="1" s="1"/>
  <c r="AJ51" i="1" a="1"/>
  <c r="AJ51" i="1" s="1"/>
  <c r="AJ50" i="1" a="1"/>
  <c r="AJ50" i="1" s="1"/>
  <c r="AJ49" i="1" a="1"/>
  <c r="AJ49" i="1" s="1"/>
  <c r="AJ48" i="1" a="1"/>
  <c r="AJ48" i="1" s="1"/>
  <c r="AJ47" i="1" a="1"/>
  <c r="AJ47" i="1" s="1"/>
  <c r="AJ46" i="1" a="1"/>
  <c r="AJ46" i="1" s="1"/>
  <c r="AJ45" i="1" a="1"/>
  <c r="AJ45" i="1" s="1"/>
  <c r="AJ44" i="1" a="1"/>
  <c r="AJ44" i="1" s="1"/>
  <c r="AJ43" i="1" a="1"/>
  <c r="AJ43" i="1" s="1"/>
  <c r="AJ42" i="1" a="1"/>
  <c r="AJ42" i="1" s="1"/>
  <c r="AJ41" i="1" a="1"/>
  <c r="AJ41" i="1" s="1"/>
  <c r="AJ40" i="1" a="1"/>
  <c r="AJ40" i="1" s="1"/>
  <c r="AJ39" i="1" a="1"/>
  <c r="AJ39" i="1" s="1"/>
  <c r="AJ38" i="1" a="1"/>
  <c r="AJ38" i="1" s="1"/>
  <c r="AJ37" i="1" a="1"/>
  <c r="AJ37" i="1" s="1"/>
  <c r="AJ36" i="1" a="1"/>
  <c r="AJ36" i="1" s="1"/>
  <c r="AJ35" i="1" a="1"/>
  <c r="AJ35" i="1" s="1"/>
  <c r="AJ34" i="1" a="1"/>
  <c r="AJ34" i="1" s="1"/>
  <c r="AJ33" i="1" a="1"/>
  <c r="AJ33" i="1" s="1"/>
  <c r="AJ32" i="1" a="1"/>
  <c r="AJ32" i="1" s="1"/>
  <c r="AJ31" i="1" a="1"/>
  <c r="AJ31" i="1" s="1"/>
  <c r="AJ30" i="1" a="1"/>
  <c r="AJ30" i="1" s="1"/>
  <c r="AJ29" i="1" a="1"/>
  <c r="AJ29" i="1" s="1"/>
  <c r="AJ28" i="1" a="1"/>
  <c r="AJ28" i="1" s="1"/>
  <c r="AJ27" i="1" a="1"/>
  <c r="AJ27" i="1" s="1"/>
  <c r="AJ26" i="1" a="1"/>
  <c r="AJ26" i="1" s="1"/>
  <c r="AJ25" i="1" a="1"/>
  <c r="AJ25" i="1" s="1"/>
  <c r="AJ24" i="1" a="1"/>
  <c r="AJ24" i="1" s="1"/>
  <c r="AJ23" i="1" a="1"/>
  <c r="AJ23" i="1" s="1"/>
  <c r="AJ22" i="1" a="1"/>
  <c r="AJ22" i="1" s="1"/>
  <c r="AJ21" i="1" a="1"/>
  <c r="AJ21" i="1" s="1"/>
  <c r="AJ20" i="1" a="1"/>
  <c r="AJ20" i="1" s="1"/>
  <c r="AJ19" i="1" a="1"/>
  <c r="AJ19" i="1" s="1"/>
  <c r="AJ18" i="1" a="1"/>
  <c r="AJ18" i="1" s="1"/>
  <c r="AJ17" i="1" a="1"/>
  <c r="AJ17" i="1" s="1"/>
  <c r="AJ16" i="1" a="1"/>
  <c r="AJ16" i="1" s="1"/>
  <c r="AJ15" i="1" a="1"/>
  <c r="AJ15" i="1" s="1"/>
  <c r="AJ14" i="1" a="1"/>
  <c r="AJ14" i="1" s="1"/>
  <c r="AJ13" i="1" a="1"/>
  <c r="AJ13" i="1" s="1"/>
  <c r="AJ12" i="1" a="1"/>
  <c r="AJ12" i="1" s="1"/>
  <c r="AJ11" i="1" a="1"/>
  <c r="AJ11" i="1" s="1"/>
  <c r="AJ10" i="1" a="1"/>
  <c r="AJ10" i="1" s="1"/>
  <c r="AJ9" i="1" a="1"/>
  <c r="AJ9" i="1" s="1"/>
  <c r="AJ8" i="1" a="1"/>
  <c r="AJ8" i="1" s="1"/>
  <c r="AL78" i="1" a="1"/>
  <c r="AL78" i="1" s="1"/>
  <c r="AL77" i="1" a="1"/>
  <c r="AL77" i="1" s="1"/>
  <c r="AL76" i="1" a="1"/>
  <c r="AL76" i="1" s="1"/>
  <c r="AL75" i="1" a="1"/>
  <c r="AL75" i="1" s="1"/>
  <c r="AL74" i="1" a="1"/>
  <c r="AL74" i="1" s="1"/>
  <c r="AL73" i="1" a="1"/>
  <c r="AL73" i="1" s="1"/>
  <c r="AL72" i="1" a="1"/>
  <c r="AL72" i="1" s="1"/>
  <c r="AL71" i="1" a="1"/>
  <c r="AL71" i="1" s="1"/>
  <c r="AL70" i="1" a="1"/>
  <c r="AL70" i="1" s="1"/>
  <c r="AL69" i="1" a="1"/>
  <c r="AL69" i="1" s="1"/>
  <c r="AL68" i="1" a="1"/>
  <c r="AL68" i="1" s="1"/>
  <c r="AL67" i="1" a="1"/>
  <c r="AL67" i="1" s="1"/>
  <c r="AL66" i="1" a="1"/>
  <c r="AL66" i="1" s="1"/>
  <c r="AL65" i="1" a="1"/>
  <c r="AL65" i="1" s="1"/>
  <c r="AL64" i="1" a="1"/>
  <c r="AL64" i="1" s="1"/>
  <c r="AL63" i="1" a="1"/>
  <c r="AL63" i="1" s="1"/>
  <c r="AL62" i="1" a="1"/>
  <c r="AL62" i="1" s="1"/>
  <c r="AL61" i="1" a="1"/>
  <c r="AL61" i="1" s="1"/>
  <c r="AL60" i="1" a="1"/>
  <c r="AL60" i="1" s="1"/>
  <c r="AL59" i="1" a="1"/>
  <c r="AL59" i="1" s="1"/>
  <c r="AL58" i="1" a="1"/>
  <c r="AL58" i="1" s="1"/>
  <c r="AL57" i="1" a="1"/>
  <c r="AL57" i="1" s="1"/>
  <c r="AL56" i="1" a="1"/>
  <c r="AL56" i="1" s="1"/>
  <c r="AL55" i="1" a="1"/>
  <c r="AL55" i="1" s="1"/>
  <c r="AL54" i="1" a="1"/>
  <c r="AL54" i="1" s="1"/>
  <c r="AL53" i="1" a="1"/>
  <c r="AL53" i="1" s="1"/>
  <c r="AL52" i="1" a="1"/>
  <c r="AL52" i="1" s="1"/>
  <c r="AL51" i="1" a="1"/>
  <c r="AL51" i="1" s="1"/>
  <c r="AL50" i="1" a="1"/>
  <c r="AL50" i="1" s="1"/>
  <c r="AL49" i="1" a="1"/>
  <c r="AL49" i="1" s="1"/>
  <c r="AL48" i="1" a="1"/>
  <c r="AL48" i="1" s="1"/>
  <c r="AL47" i="1" a="1"/>
  <c r="AL47" i="1" s="1"/>
  <c r="AL46" i="1" a="1"/>
  <c r="AL46" i="1" s="1"/>
  <c r="AL45" i="1" a="1"/>
  <c r="AL45" i="1" s="1"/>
  <c r="AL44" i="1" a="1"/>
  <c r="AL44" i="1" s="1"/>
  <c r="AL43" i="1" a="1"/>
  <c r="AL43" i="1" s="1"/>
  <c r="AL42" i="1" a="1"/>
  <c r="AL42" i="1" s="1"/>
  <c r="AL41" i="1" a="1"/>
  <c r="AL41" i="1" s="1"/>
  <c r="AL40" i="1" a="1"/>
  <c r="AL40" i="1" s="1"/>
  <c r="AL39" i="1" a="1"/>
  <c r="AL39" i="1" s="1"/>
  <c r="AL38" i="1" a="1"/>
  <c r="AL38" i="1" s="1"/>
  <c r="AL37" i="1" a="1"/>
  <c r="AL37" i="1" s="1"/>
  <c r="AL36" i="1" a="1"/>
  <c r="AL36" i="1" s="1"/>
  <c r="AL35" i="1" a="1"/>
  <c r="AL35" i="1" s="1"/>
  <c r="AL34" i="1" a="1"/>
  <c r="AL34" i="1" s="1"/>
  <c r="AL33" i="1" a="1"/>
  <c r="AL33" i="1" s="1"/>
  <c r="AL32" i="1" a="1"/>
  <c r="AL32" i="1" s="1"/>
  <c r="AL31" i="1" a="1"/>
  <c r="AL31" i="1" s="1"/>
  <c r="AL30" i="1" a="1"/>
  <c r="AL30" i="1" s="1"/>
  <c r="AL29" i="1" a="1"/>
  <c r="AL29" i="1" s="1"/>
  <c r="AL28" i="1" a="1"/>
  <c r="AL28" i="1" s="1"/>
  <c r="AL27" i="1" a="1"/>
  <c r="AL27" i="1" s="1"/>
  <c r="AL26" i="1" a="1"/>
  <c r="AL26" i="1" s="1"/>
  <c r="AL25" i="1" a="1"/>
  <c r="AL25" i="1" s="1"/>
  <c r="AL24" i="1" a="1"/>
  <c r="AL24" i="1" s="1"/>
  <c r="AL23" i="1" a="1"/>
  <c r="AL23" i="1" s="1"/>
  <c r="AL22" i="1" a="1"/>
  <c r="AL22" i="1" s="1"/>
  <c r="AL21" i="1" a="1"/>
  <c r="AL21" i="1" s="1"/>
  <c r="AL20" i="1" a="1"/>
  <c r="AL20" i="1" s="1"/>
  <c r="AL19" i="1" a="1"/>
  <c r="AL19" i="1" s="1"/>
  <c r="AL18" i="1" a="1"/>
  <c r="AL18" i="1" s="1"/>
  <c r="AL17" i="1" a="1"/>
  <c r="AL17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AL11" i="1" a="1"/>
  <c r="AL11" i="1" s="1"/>
  <c r="AL10" i="1" a="1"/>
  <c r="AL10" i="1" s="1"/>
  <c r="AL9" i="1" a="1"/>
  <c r="AL9" i="1" s="1"/>
  <c r="AL8" i="1" a="1"/>
  <c r="AL8" i="1" s="1"/>
  <c r="AL7" i="1" a="1"/>
  <c r="AL7" i="1" s="1"/>
  <c r="AH78" i="1" a="1"/>
  <c r="AH78" i="1" s="1"/>
  <c r="AH77" i="1" a="1"/>
  <c r="AH77" i="1" s="1"/>
  <c r="AH76" i="1" a="1"/>
  <c r="AH76" i="1" s="1"/>
  <c r="AH75" i="1" a="1"/>
  <c r="AH75" i="1" s="1"/>
  <c r="AH74" i="1" a="1"/>
  <c r="AH74" i="1" s="1"/>
  <c r="AH73" i="1" a="1"/>
  <c r="AH73" i="1" s="1"/>
  <c r="AH72" i="1" a="1"/>
  <c r="AH72" i="1" s="1"/>
  <c r="AH71" i="1" a="1"/>
  <c r="AH71" i="1" s="1"/>
  <c r="AH70" i="1" a="1"/>
  <c r="AH70" i="1" s="1"/>
  <c r="AH69" i="1" a="1"/>
  <c r="AH69" i="1" s="1"/>
  <c r="AH68" i="1" a="1"/>
  <c r="AH68" i="1" s="1"/>
  <c r="AH67" i="1" a="1"/>
  <c r="AH67" i="1" s="1"/>
  <c r="AH66" i="1" a="1"/>
  <c r="AH66" i="1" s="1"/>
  <c r="AH65" i="1" a="1"/>
  <c r="AH65" i="1" s="1"/>
  <c r="AH64" i="1" a="1"/>
  <c r="AH64" i="1" s="1"/>
  <c r="AH63" i="1" a="1"/>
  <c r="AH63" i="1" s="1"/>
  <c r="AH62" i="1" a="1"/>
  <c r="AH62" i="1" s="1"/>
  <c r="AH61" i="1" a="1"/>
  <c r="AH61" i="1" s="1"/>
  <c r="AH60" i="1" a="1"/>
  <c r="AH60" i="1" s="1"/>
  <c r="AH59" i="1" a="1"/>
  <c r="AH59" i="1" s="1"/>
  <c r="AH58" i="1" a="1"/>
  <c r="AH58" i="1" s="1"/>
  <c r="AH57" i="1" a="1"/>
  <c r="AH57" i="1" s="1"/>
  <c r="AH56" i="1" a="1"/>
  <c r="AH56" i="1" s="1"/>
  <c r="AH55" i="1" a="1"/>
  <c r="AH55" i="1" s="1"/>
  <c r="AH54" i="1" a="1"/>
  <c r="AH54" i="1" s="1"/>
  <c r="AH53" i="1" a="1"/>
  <c r="AH53" i="1" s="1"/>
  <c r="AH52" i="1" a="1"/>
  <c r="AH52" i="1" s="1"/>
  <c r="AH51" i="1" a="1"/>
  <c r="AH51" i="1" s="1"/>
  <c r="AH50" i="1" a="1"/>
  <c r="AH50" i="1" s="1"/>
  <c r="AH49" i="1" a="1"/>
  <c r="AH49" i="1" s="1"/>
  <c r="AH48" i="1" a="1"/>
  <c r="AH48" i="1" s="1"/>
  <c r="AH47" i="1" a="1"/>
  <c r="AH47" i="1" s="1"/>
  <c r="AH46" i="1" a="1"/>
  <c r="AH46" i="1" s="1"/>
  <c r="AH45" i="1" a="1"/>
  <c r="AH45" i="1" s="1"/>
  <c r="AH44" i="1" a="1"/>
  <c r="AH44" i="1" s="1"/>
  <c r="AH43" i="1" a="1"/>
  <c r="AH43" i="1" s="1"/>
  <c r="AH42" i="1" a="1"/>
  <c r="AH42" i="1" s="1"/>
  <c r="AH41" i="1" a="1"/>
  <c r="AH41" i="1" s="1"/>
  <c r="AH40" i="1" a="1"/>
  <c r="AH40" i="1" s="1"/>
  <c r="AH39" i="1" a="1"/>
  <c r="AH39" i="1" s="1"/>
  <c r="AH38" i="1" a="1"/>
  <c r="AH38" i="1" s="1"/>
  <c r="AH37" i="1" a="1"/>
  <c r="AH37" i="1" s="1"/>
  <c r="AH36" i="1" a="1"/>
  <c r="AH36" i="1" s="1"/>
  <c r="AH35" i="1" a="1"/>
  <c r="AH35" i="1" s="1"/>
  <c r="AH34" i="1" a="1"/>
  <c r="AH34" i="1" s="1"/>
  <c r="AH33" i="1" a="1"/>
  <c r="AH33" i="1" s="1"/>
  <c r="AH32" i="1" a="1"/>
  <c r="AH32" i="1" s="1"/>
  <c r="AH31" i="1" a="1"/>
  <c r="AH31" i="1" s="1"/>
  <c r="AH30" i="1" a="1"/>
  <c r="AH30" i="1" s="1"/>
  <c r="AH29" i="1" a="1"/>
  <c r="AH29" i="1" s="1"/>
  <c r="AH28" i="1" a="1"/>
  <c r="AH28" i="1" s="1"/>
  <c r="AH27" i="1" a="1"/>
  <c r="AH27" i="1" s="1"/>
  <c r="AH26" i="1" a="1"/>
  <c r="AH26" i="1" s="1"/>
  <c r="AH25" i="1" a="1"/>
  <c r="AH25" i="1" s="1"/>
  <c r="AH24" i="1" a="1"/>
  <c r="AH24" i="1" s="1"/>
  <c r="AH23" i="1" a="1"/>
  <c r="AH23" i="1" s="1"/>
  <c r="AH22" i="1" a="1"/>
  <c r="AH22" i="1" s="1"/>
  <c r="AH21" i="1" a="1"/>
  <c r="AH21" i="1" s="1"/>
  <c r="AH20" i="1" a="1"/>
  <c r="AH20" i="1" s="1"/>
  <c r="AH19" i="1" a="1"/>
  <c r="AH19" i="1" s="1"/>
  <c r="AH18" i="1" a="1"/>
  <c r="AH18" i="1" s="1"/>
  <c r="AH17" i="1" a="1"/>
  <c r="AH17" i="1" s="1"/>
  <c r="AH16" i="1" a="1"/>
  <c r="AH16" i="1" s="1"/>
  <c r="AH15" i="1" a="1"/>
  <c r="AH15" i="1" s="1"/>
  <c r="AH14" i="1" a="1"/>
  <c r="AH14" i="1" s="1"/>
  <c r="AH13" i="1" a="1"/>
  <c r="AH13" i="1" s="1"/>
  <c r="AH12" i="1" a="1"/>
  <c r="AH12" i="1" s="1"/>
  <c r="AH11" i="1" a="1"/>
  <c r="AH11" i="1" s="1"/>
  <c r="AH10" i="1" a="1"/>
  <c r="AH10" i="1" s="1"/>
  <c r="AH9" i="1" a="1"/>
  <c r="AH9" i="1" s="1"/>
  <c r="AH8" i="1" a="1"/>
  <c r="AH8" i="1" s="1"/>
  <c r="AP12" i="1" l="1" a="1"/>
  <c r="AP12" i="1" s="1"/>
  <c r="AQ12" i="1" s="1"/>
  <c r="AO13" i="1"/>
  <c r="AN13" i="1"/>
  <c r="AP10" i="1" a="1"/>
  <c r="AP10" i="1" s="1"/>
  <c r="AQ10" i="1" s="1"/>
  <c r="AO11" i="1"/>
  <c r="AN11" i="1"/>
  <c r="AN9" i="1"/>
  <c r="AP8" i="1" a="1"/>
  <c r="AP8" i="1" s="1"/>
  <c r="AQ8" i="1" s="1"/>
  <c r="AO9" i="1"/>
  <c r="AN7" i="1"/>
  <c r="AO7" i="1"/>
  <c r="AP6" i="1" a="1"/>
  <c r="AP6" i="1" s="1"/>
  <c r="AQ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<sst xmlns="http://schemas.openxmlformats.org/spreadsheetml/2006/main" count="121" uniqueCount="45">
  <si>
    <t>MATRIC 
NUMBER</t>
  </si>
  <si>
    <t>S/N</t>
  </si>
  <si>
    <t>Grade</t>
  </si>
  <si>
    <t>Score</t>
  </si>
  <si>
    <t>COLLEGE OF ENGINEERING
DEPARTMENT OF ELECTRICAL ENGINEERING
Academic Year: 2024/2025
Level: 100</t>
  </si>
  <si>
    <t>Remarks
Outstanding Courses
(Total Outstanding Units)</t>
  </si>
  <si>
    <t>Grade Points Average</t>
  </si>
  <si>
    <t>Total Unit Registered</t>
  </si>
  <si>
    <t>Total Unit Passed</t>
  </si>
  <si>
    <t>Total Unit Failed</t>
  </si>
  <si>
    <t>Total Grade Point</t>
  </si>
  <si>
    <t>COLLEGE OF SCIENCE AND COMPUTING</t>
  </si>
  <si>
    <t>DEPARTMENT OF MATHEMATICS AND COMPUTING</t>
  </si>
  <si>
    <t>LEVEL</t>
  </si>
  <si>
    <t>SESSION</t>
  </si>
  <si>
    <t>YEAR ONE</t>
  </si>
  <si>
    <t>Course
Abbreviation</t>
  </si>
  <si>
    <t>Course
Code</t>
  </si>
  <si>
    <t>Course
 Title</t>
  </si>
  <si>
    <t>2024/2025</t>
  </si>
  <si>
    <t>FIRST SEMESTER</t>
  </si>
  <si>
    <t>MTH</t>
  </si>
  <si>
    <t>GST</t>
  </si>
  <si>
    <t>PHY</t>
  </si>
  <si>
    <t>WU</t>
  </si>
  <si>
    <t xml:space="preserve">WU-GST </t>
  </si>
  <si>
    <t>COS</t>
  </si>
  <si>
    <t>BUA</t>
  </si>
  <si>
    <t>Credit
Unit</t>
  </si>
  <si>
    <t>SECOND SEMESTER</t>
  </si>
  <si>
    <t>WU-GST</t>
  </si>
  <si>
    <t>STA</t>
  </si>
  <si>
    <t>WU-MTH</t>
  </si>
  <si>
    <t>YEAR TWO</t>
  </si>
  <si>
    <t>COURSE
CODE</t>
  </si>
  <si>
    <t>CREDIT UNITS</t>
  </si>
  <si>
    <t>GRADE POINTS</t>
  </si>
  <si>
    <t>A</t>
  </si>
  <si>
    <t>B</t>
  </si>
  <si>
    <t>C</t>
  </si>
  <si>
    <t>D</t>
  </si>
  <si>
    <t>E</t>
  </si>
  <si>
    <t>F</t>
  </si>
  <si>
    <t>ABS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</si>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</sst>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0" fillId="0" borderId="24" xfId="0" applyBorder="1"/>
    <xf numFmtId="0" fontId="0" fillId="0" borderId="23" xfId="0" applyBorder="1"/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0" fillId="0" borderId="31" xfId="0" applyBorder="1"/>
    <xf numFmtId="0" fontId="0" fillId="0" borderId="29" xfId="0" applyBorder="1"/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22" xfId="0" applyBorder="1"/>
    <xf numFmtId="0" fontId="0" fillId="0" borderId="28" xfId="0" applyBorder="1"/>
    <xf numFmtId="0" fontId="2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1" xfId="0" applyBorder="1"/>
    <xf numFmtId="0" fontId="3" fillId="5" borderId="46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 wrapText="1"/>
    </xf>
    <xf numFmtId="0" fontId="0" fillId="0" borderId="38" xfId="0" applyBorder="1"/>
    <xf numFmtId="0" fontId="0" fillId="0" borderId="18" xfId="0" applyBorder="1"/>
    <xf numFmtId="0" fontId="0" fillId="0" borderId="21" xfId="0" applyBorder="1"/>
    <xf numFmtId="0" fontId="0" fillId="0" borderId="37" xfId="0" applyBorder="1"/>
    <xf numFmtId="0" fontId="4" fillId="5" borderId="13" xfId="0" applyFont="1" applyFill="1" applyBorder="1" applyAlignment="1">
      <alignment horizontal="center" vertical="center" textRotation="90" wrapText="1"/>
    </xf>
    <xf numFmtId="0" fontId="4" fillId="5" borderId="54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 textRotation="90" wrapText="1"/>
    </xf>
    <xf numFmtId="0" fontId="4" fillId="2" borderId="13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textRotation="90" wrapText="1"/>
    </xf>
    <xf numFmtId="0" fontId="4" fillId="2" borderId="65" xfId="0" applyFont="1" applyFill="1" applyBorder="1" applyAlignment="1">
      <alignment horizontal="center" vertical="center" textRotation="90" wrapText="1"/>
    </xf>
    <xf numFmtId="0" fontId="1" fillId="0" borderId="66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5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9" xfId="0" applyBorder="1" applyAlignment="1">
      <alignment horizontal="center"/>
    </xf>
    <xf numFmtId="0" fontId="4" fillId="5" borderId="27" xfId="0" applyFont="1" applyFill="1" applyBorder="1" applyAlignment="1">
      <alignment horizontal="center" vertical="center" textRotation="90" wrapText="1"/>
    </xf>
    <xf numFmtId="0" fontId="4" fillId="5" borderId="36" xfId="0" applyFont="1" applyFill="1" applyBorder="1" applyAlignment="1">
      <alignment horizontal="center" vertical="center" textRotation="90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0" borderId="22" xfId="0" applyBorder="1"/>
    <xf numFmtId="0" fontId="0" fillId="0" borderId="24" xfId="0" applyBorder="1"/>
    <xf numFmtId="0" fontId="0" fillId="0" borderId="28" xfId="0" applyBorder="1"/>
    <xf numFmtId="0" fontId="0" fillId="0" borderId="31" xfId="0" applyBorder="1"/>
    <xf numFmtId="0" fontId="3" fillId="5" borderId="31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3" xfId="0" applyBorder="1"/>
    <xf numFmtId="0" fontId="0" fillId="0" borderId="29" xfId="0" applyBorder="1"/>
    <xf numFmtId="0" fontId="0" fillId="6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8" fillId="0" borderId="5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21167</xdr:colOff>
      <xdr:row>0</xdr:row>
      <xdr:rowOff>52916</xdr:rowOff>
    </xdr:from>
    <xdr:ext cx="5386916" cy="3778252"/>
    <xdr:pic>
      <xdr:nvPicPr>
        <xdr:cNvPr id="2" name="Picture 1">
          <a:extLst>
            <a:ext uri="{FF2B5EF4-FFF2-40B4-BE49-F238E27FC236}">
              <a16:creationId xmlns:a16="http://schemas.microsoft.com/office/drawing/2014/main" id="{F3C126BA-E129-4DBB-A04C-4E615D82A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7" y="52916"/>
          <a:ext cx="5386916" cy="377825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8</xdr:row>
      <xdr:rowOff>25400</xdr:rowOff>
    </xdr:from>
    <xdr:to>
      <xdr:col>7</xdr:col>
      <xdr:colOff>9525</xdr:colOff>
      <xdr:row>50</xdr:row>
      <xdr:rowOff>73025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F745229-46EF-4533-977B-4D7BC2B6517D}"/>
            </a:ext>
          </a:extLst>
        </xdr:cNvPr>
        <xdr:cNvSpPr>
          <a:spLocks noChangeShapeType="1"/>
        </xdr:cNvSpPr>
      </xdr:nvSpPr>
      <xdr:spPr bwMode="auto">
        <a:xfrm flipH="1">
          <a:off x="4559300" y="1682750"/>
          <a:ext cx="47625" cy="778192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13A4-83EF-4E85-830F-13BAAB0DC9C9}">
  <dimension ref="A1:AY359"/>
  <sheetViews>
    <sheetView tabSelected="1" topLeftCell="A2" zoomScale="60" zoomScaleNormal="60" workbookViewId="0">
      <selection activeCell="C8" sqref="C8:H9"/>
    </sheetView>
  </sheetViews>
  <sheetFormatPr defaultRowHeight="14.4" x14ac:dyDescent="0.3"/>
  <cols>
    <col min="1" max="1" width="4.77734375" style="9" customWidth="1"/>
    <col min="2" max="2" width="33" customWidth="1"/>
    <col min="5" max="5" width="8.77734375" customWidth="1"/>
    <col min="6" max="6" width="11.44140625" customWidth="1"/>
    <col min="8" max="8" width="11.88671875" customWidth="1"/>
    <col min="9" max="9" width="9.88671875" style="7" bestFit="1" customWidth="1"/>
    <col min="10" max="10" width="7" customWidth="1"/>
    <col min="11" max="11" width="5.5546875" style="7" customWidth="1"/>
    <col min="12" max="12" width="6.88671875" customWidth="1"/>
    <col min="13" max="13" width="5.6640625" style="7" customWidth="1"/>
    <col min="14" max="14" width="5.77734375" customWidth="1"/>
    <col min="15" max="15" width="7.21875" customWidth="1"/>
    <col min="16" max="16" width="6.21875" customWidth="1"/>
    <col min="17" max="17" width="6.44140625" customWidth="1"/>
    <col min="18" max="19" width="6.77734375" customWidth="1"/>
    <col min="20" max="20" width="5.88671875" customWidth="1"/>
    <col min="21" max="21" width="6" style="10" customWidth="1"/>
    <col min="22" max="22" width="6.21875" style="2" customWidth="1"/>
    <col min="23" max="23" width="6.77734375" customWidth="1"/>
    <col min="24" max="24" width="6.77734375" hidden="1" customWidth="1"/>
    <col min="25" max="25" width="6.44140625" hidden="1" customWidth="1"/>
    <col min="26" max="26" width="7.88671875" hidden="1" customWidth="1"/>
    <col min="27" max="27" width="7.109375" hidden="1" customWidth="1"/>
    <col min="28" max="28" width="6.77734375" hidden="1" customWidth="1"/>
    <col min="29" max="29" width="6.88671875" hidden="1" customWidth="1"/>
    <col min="30" max="30" width="5.5546875" hidden="1" customWidth="1"/>
    <col min="31" max="31" width="7.109375" hidden="1" customWidth="1"/>
    <col min="32" max="33" width="6.21875" hidden="1" customWidth="1"/>
    <col min="34" max="34" width="6.6640625" hidden="1" customWidth="1"/>
    <col min="35" max="35" width="3.44140625" hidden="1" customWidth="1"/>
    <col min="36" max="36" width="5.6640625" hidden="1" customWidth="1"/>
    <col min="37" max="37" width="0" hidden="1" customWidth="1"/>
    <col min="38" max="38" width="9.21875" hidden="1" customWidth="1"/>
    <col min="39" max="39" width="14.44140625" bestFit="1" customWidth="1"/>
    <col min="40" max="40" width="11.21875" bestFit="1" customWidth="1"/>
    <col min="41" max="41" width="11.21875" customWidth="1"/>
    <col min="42" max="42" width="7.88671875" customWidth="1"/>
    <col min="43" max="43" width="21.21875" bestFit="1" customWidth="1"/>
    <col min="44" max="44" width="37.21875" customWidth="1"/>
  </cols>
  <sheetData>
    <row r="1" spans="1:51" ht="145.5" customHeight="1" thickBot="1" x14ac:dyDescent="0.35">
      <c r="A1" s="8"/>
      <c r="B1" s="6"/>
      <c r="C1" s="6"/>
      <c r="D1" s="6"/>
      <c r="E1" s="6"/>
      <c r="F1" s="6"/>
      <c r="G1" s="109" t="s">
        <v>4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1"/>
      <c r="AR1" s="111"/>
    </row>
    <row r="2" spans="1:51" ht="36.6" thickTop="1" x14ac:dyDescent="0.3">
      <c r="A2" s="5"/>
      <c r="B2" s="7"/>
      <c r="C2" s="7"/>
      <c r="D2" s="7"/>
      <c r="E2" s="7"/>
      <c r="F2" s="17"/>
      <c r="G2" s="117" t="s">
        <v>34</v>
      </c>
      <c r="H2" s="118"/>
      <c r="I2" s="35" t="str" cm="1">
        <f t="array" ref="I2:W2">TRANSPOSE('REG. COURSES'!A10:A24)</f>
        <v>GST</v>
      </c>
      <c r="J2" s="35" t="str">
        <v>PHY</v>
      </c>
      <c r="K2" s="35" t="str">
        <v>WU</v>
      </c>
      <c r="L2" s="35" t="str">
        <v xml:space="preserve">WU-GST </v>
      </c>
      <c r="M2" s="22" t="str">
        <v xml:space="preserve">WU-GST </v>
      </c>
      <c r="N2" s="38" t="str">
        <v>COS</v>
      </c>
      <c r="O2" s="41" t="str">
        <v>BUA</v>
      </c>
      <c r="P2" s="22" t="str">
        <v>MTH</v>
      </c>
      <c r="Q2" s="23" t="str">
        <v>MTH</v>
      </c>
      <c r="R2" s="23" t="str">
        <v>MTH</v>
      </c>
      <c r="S2" s="23" t="str">
        <v>MTH</v>
      </c>
      <c r="T2" s="35" t="str">
        <v>MTH</v>
      </c>
      <c r="U2" s="22" t="str">
        <v>MTH</v>
      </c>
      <c r="V2" s="35" t="str">
        <v>MTH</v>
      </c>
      <c r="W2" s="44" t="str">
        <v>MTH</v>
      </c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4"/>
      <c r="AI2" s="23"/>
      <c r="AJ2" s="22"/>
      <c r="AK2" s="23"/>
      <c r="AL2" s="22"/>
      <c r="AM2" s="79"/>
      <c r="AN2" s="79"/>
      <c r="AO2" s="79"/>
      <c r="AP2" s="79"/>
      <c r="AQ2" s="79"/>
      <c r="AR2" s="81"/>
      <c r="AS2" s="25"/>
      <c r="AT2" s="25"/>
      <c r="AU2" s="25"/>
      <c r="AV2" s="25"/>
      <c r="AW2" s="25"/>
      <c r="AX2" s="25"/>
      <c r="AY2" s="26"/>
    </row>
    <row r="3" spans="1:51" ht="40.049999999999997" customHeight="1" thickBot="1" x14ac:dyDescent="0.35">
      <c r="A3" s="5"/>
      <c r="B3" s="7"/>
      <c r="C3" s="7"/>
      <c r="D3" s="7"/>
      <c r="E3" s="7"/>
      <c r="F3" s="17"/>
      <c r="G3" s="119"/>
      <c r="H3" s="120"/>
      <c r="I3" s="36" cm="1">
        <f t="array" ref="I3:W3">TRANSPOSE('REG. COURSES'!B10:B24)</f>
        <v>111</v>
      </c>
      <c r="J3" s="36">
        <v>101</v>
      </c>
      <c r="K3" s="36">
        <v>111</v>
      </c>
      <c r="L3" s="37">
        <v>101</v>
      </c>
      <c r="M3" s="28">
        <v>111</v>
      </c>
      <c r="N3" s="39">
        <v>101</v>
      </c>
      <c r="O3" s="32">
        <v>101</v>
      </c>
      <c r="P3" s="40">
        <v>101</v>
      </c>
      <c r="Q3" s="32">
        <v>103</v>
      </c>
      <c r="R3" s="40">
        <v>104</v>
      </c>
      <c r="S3" s="32">
        <v>105</v>
      </c>
      <c r="T3" s="40">
        <v>106</v>
      </c>
      <c r="U3" s="32">
        <v>107</v>
      </c>
      <c r="V3" s="40">
        <v>108</v>
      </c>
      <c r="W3" s="32">
        <v>109</v>
      </c>
      <c r="X3" s="42"/>
      <c r="Y3" s="29"/>
      <c r="Z3" s="30"/>
      <c r="AA3" s="31"/>
      <c r="AB3" s="27"/>
      <c r="AC3" s="32"/>
      <c r="AD3" s="27"/>
      <c r="AE3" s="32"/>
      <c r="AF3" s="27"/>
      <c r="AG3" s="32"/>
      <c r="AH3" s="27"/>
      <c r="AI3" s="32"/>
      <c r="AJ3" s="28"/>
      <c r="AK3" s="32"/>
      <c r="AL3" s="28"/>
      <c r="AM3" s="80"/>
      <c r="AN3" s="80"/>
      <c r="AO3" s="80"/>
      <c r="AP3" s="80"/>
      <c r="AQ3" s="80"/>
      <c r="AR3" s="82"/>
      <c r="AS3" s="33"/>
      <c r="AT3" s="33"/>
      <c r="AU3" s="33"/>
      <c r="AV3" s="33"/>
      <c r="AW3" s="33"/>
      <c r="AX3" s="33"/>
      <c r="AY3" s="34"/>
    </row>
    <row r="4" spans="1:51" ht="78" customHeight="1" thickTop="1" thickBot="1" x14ac:dyDescent="0.35">
      <c r="A4" s="4"/>
      <c r="B4" s="3"/>
      <c r="C4" s="7"/>
      <c r="D4" s="7"/>
      <c r="E4" s="7"/>
      <c r="F4" s="45"/>
      <c r="G4" s="112" t="s">
        <v>35</v>
      </c>
      <c r="H4" s="113"/>
      <c r="I4" s="16" cm="1">
        <f t="array" ref="I4:W4">TRANSPOSE('REG. COURSES'!C10:C24)</f>
        <v>2</v>
      </c>
      <c r="J4" s="15">
        <v>2</v>
      </c>
      <c r="K4" s="15">
        <v>1</v>
      </c>
      <c r="L4" s="15">
        <v>2</v>
      </c>
      <c r="M4" s="15">
        <v>1</v>
      </c>
      <c r="N4" s="15">
        <v>3</v>
      </c>
      <c r="O4" s="15">
        <v>2</v>
      </c>
      <c r="P4" s="15">
        <v>2</v>
      </c>
      <c r="Q4" s="15">
        <v>2</v>
      </c>
      <c r="R4" s="15">
        <v>1</v>
      </c>
      <c r="S4" s="15">
        <v>1</v>
      </c>
      <c r="T4" s="15">
        <v>1</v>
      </c>
      <c r="U4" s="15">
        <v>1</v>
      </c>
      <c r="V4" s="15">
        <v>1</v>
      </c>
      <c r="W4" s="43">
        <v>1</v>
      </c>
      <c r="X4" s="16"/>
      <c r="Y4" s="18"/>
      <c r="Z4" s="19"/>
      <c r="AA4" s="20">
        <v>12</v>
      </c>
      <c r="AB4" s="21"/>
      <c r="AC4" s="15">
        <v>12</v>
      </c>
      <c r="AD4" s="21"/>
      <c r="AE4" s="15">
        <v>13</v>
      </c>
      <c r="AF4" s="21"/>
      <c r="AG4" s="15">
        <v>14</v>
      </c>
      <c r="AH4" s="21"/>
      <c r="AI4" s="15">
        <v>15</v>
      </c>
      <c r="AJ4" s="21"/>
      <c r="AK4" s="15">
        <v>15</v>
      </c>
      <c r="AL4" s="21"/>
      <c r="AM4" s="60"/>
      <c r="AN4" s="60"/>
      <c r="AO4" s="60"/>
      <c r="AP4" s="60"/>
      <c r="AQ4" s="60"/>
      <c r="AR4" s="61"/>
    </row>
    <row r="5" spans="1:51" ht="76.95" customHeight="1" thickTop="1" thickBot="1" x14ac:dyDescent="0.35">
      <c r="A5" s="67" t="s">
        <v>1</v>
      </c>
      <c r="B5" s="55" t="s">
        <v>0</v>
      </c>
      <c r="C5" s="133" t="s">
        <v>44</v>
      </c>
      <c r="D5" s="114"/>
      <c r="E5" s="114"/>
      <c r="F5" s="114"/>
      <c r="G5" s="115"/>
      <c r="H5" s="116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6"/>
      <c r="AG5" s="53" t="s">
        <v>3</v>
      </c>
      <c r="AH5" s="54" t="s">
        <v>2</v>
      </c>
      <c r="AI5" s="53" t="s">
        <v>3</v>
      </c>
      <c r="AJ5" s="54" t="s">
        <v>2</v>
      </c>
      <c r="AK5" s="53" t="s">
        <v>3</v>
      </c>
      <c r="AL5" s="64" t="s">
        <v>2</v>
      </c>
      <c r="AM5" s="65" t="s">
        <v>7</v>
      </c>
      <c r="AN5" s="66" t="s">
        <v>8</v>
      </c>
      <c r="AO5" s="62" t="s">
        <v>9</v>
      </c>
      <c r="AP5" s="62" t="s">
        <v>10</v>
      </c>
      <c r="AQ5" s="62" t="s">
        <v>6</v>
      </c>
      <c r="AR5" s="63" t="s">
        <v>5</v>
      </c>
    </row>
    <row r="6" spans="1:51" ht="30" customHeight="1" thickTop="1" x14ac:dyDescent="0.3">
      <c r="A6" s="127">
        <v>1</v>
      </c>
      <c r="B6" s="72"/>
      <c r="C6" s="121"/>
      <c r="D6" s="122"/>
      <c r="E6" s="122"/>
      <c r="F6" s="122"/>
      <c r="G6" s="122"/>
      <c r="H6" s="122"/>
      <c r="I6" s="49">
        <v>70</v>
      </c>
      <c r="J6" s="49">
        <v>80</v>
      </c>
      <c r="K6" s="49">
        <v>78</v>
      </c>
      <c r="L6" s="49">
        <v>76</v>
      </c>
      <c r="M6" s="49">
        <v>74</v>
      </c>
      <c r="N6" s="49">
        <v>76</v>
      </c>
      <c r="O6" s="49">
        <v>86</v>
      </c>
      <c r="P6" s="49">
        <v>97</v>
      </c>
      <c r="Q6" s="49">
        <v>84</v>
      </c>
      <c r="R6" s="49">
        <v>74</v>
      </c>
      <c r="S6" s="49">
        <v>79</v>
      </c>
      <c r="T6" s="49">
        <v>72</v>
      </c>
      <c r="U6" s="49">
        <v>71</v>
      </c>
      <c r="V6" s="49">
        <v>80</v>
      </c>
      <c r="W6" s="49">
        <v>70</v>
      </c>
      <c r="X6" s="49">
        <v>60</v>
      </c>
      <c r="Y6" s="49">
        <v>61</v>
      </c>
      <c r="Z6" s="49">
        <v>62</v>
      </c>
      <c r="AA6" s="49">
        <v>63</v>
      </c>
      <c r="AB6" s="49">
        <v>64</v>
      </c>
      <c r="AC6" s="49">
        <v>65</v>
      </c>
      <c r="AD6" s="49">
        <v>66</v>
      </c>
      <c r="AE6" s="49">
        <v>67</v>
      </c>
      <c r="AF6" s="49">
        <v>68</v>
      </c>
      <c r="AG6" s="7">
        <v>53</v>
      </c>
      <c r="AH6" s="48">
        <f>'REG. COURSES'!AA10</f>
        <v>0</v>
      </c>
      <c r="AI6" s="7">
        <v>98</v>
      </c>
      <c r="AJ6" s="7">
        <v>54</v>
      </c>
      <c r="AK6" s="48">
        <f>'REG. COURSES'!AD10</f>
        <v>0</v>
      </c>
      <c r="AL6" s="7">
        <v>99</v>
      </c>
      <c r="AM6" s="59"/>
      <c r="AN6" s="46"/>
      <c r="AO6" s="59"/>
      <c r="AP6" s="75" cm="1">
        <f t="array" ref="AP6">SUM(VLOOKUP(I7:W7,GRADEPOINT!$A$2:$B$7,2,0)*$I$4:$W$4)</f>
        <v>115</v>
      </c>
      <c r="AQ6" s="73">
        <f>ROUND(AP6/AM7,2)</f>
        <v>5</v>
      </c>
      <c r="AR6" s="75"/>
      <c r="AS6" s="52"/>
    </row>
    <row r="7" spans="1:51" ht="30" customHeight="1" thickBot="1" x14ac:dyDescent="0.35">
      <c r="A7" s="101"/>
      <c r="B7" s="107"/>
      <c r="C7" s="123"/>
      <c r="D7" s="124"/>
      <c r="E7" s="124"/>
      <c r="F7" s="124"/>
      <c r="G7" s="124"/>
      <c r="H7" s="124"/>
      <c r="I7" s="50" t="str" cm="1">
        <f t="array" ref="I7">_xlfn.IFS(I6&gt;= 70,"A",I6&gt;=60,"B",I6&gt;=50,"C",I6&gt;=45,"D",I6&gt;=40,"E",I6&lt;40,"F")</f>
        <v>A</v>
      </c>
      <c r="J7" s="50" t="str" cm="1">
        <f t="array" ref="J7">_xlfn.IFS(J6&gt;= 70,"A",J6&gt;=60,"B",J6&gt;=50,"C",J6&gt;=45,"D",J6&gt;=40,"E",J6&lt;40,"F")</f>
        <v>A</v>
      </c>
      <c r="K7" s="50" t="str" cm="1">
        <f t="array" ref="K7">_xlfn.IFS(K6&gt;= 70,"A",K6&gt;=60,"B",K6&gt;=50,"C",K6&gt;=45,"D",K6&gt;=40,"E",K6&lt;40,"F")</f>
        <v>A</v>
      </c>
      <c r="L7" s="50" t="str" cm="1">
        <f t="array" ref="L7">_xlfn.IFS(L6&gt;= 70,"A",L6&gt;=60,"B",L6&gt;=50,"C",L6&gt;=45,"D",L6&gt;=40,"E",L6&lt;40,"F")</f>
        <v>A</v>
      </c>
      <c r="M7" s="50" t="str" cm="1">
        <f t="array" ref="M7">_xlfn.IFS(M6&gt;= 70,"A",M6&gt;=60,"B",M6&gt;=50,"C",M6&gt;=45,"D",M6&gt;=40,"E",M6&lt;40,"F")</f>
        <v>A</v>
      </c>
      <c r="N7" s="50" t="str" cm="1">
        <f t="array" ref="N7">_xlfn.IFS(N6&gt;= 70,"A",N6&gt;=60,"B",N6&gt;=50,"C",N6&gt;=45,"D",N6&gt;=40,"E",N6&lt;40,"F")</f>
        <v>A</v>
      </c>
      <c r="O7" s="50" t="str" cm="1">
        <f t="array" ref="O7">_xlfn.IFS(O6&gt;= 70,"A",O6&gt;=60,"B",O6&gt;=50,"C",O6&gt;=45,"D",O6&gt;=40,"E",O6&lt;40,"F")</f>
        <v>A</v>
      </c>
      <c r="P7" s="50" t="str" cm="1">
        <f t="array" ref="P7">_xlfn.IFS(P6&gt;= 70,"A",P6&gt;=60,"B",P6&gt;=50,"C",P6&gt;=45,"D",P6&gt;=40,"E",P6&lt;40,"F")</f>
        <v>A</v>
      </c>
      <c r="Q7" s="50" t="str" cm="1">
        <f t="array" ref="Q7">_xlfn.IFS(Q6&gt;= 70,"A",Q6&gt;=60,"B",Q6&gt;=50,"C",Q6&gt;=45,"D",Q6&gt;=40,"E",Q6&lt;40,"F")</f>
        <v>A</v>
      </c>
      <c r="R7" s="50" t="str" cm="1">
        <f t="array" ref="R7">_xlfn.IFS(R6&gt;= 70,"A",R6&gt;=60,"B",R6&gt;=50,"C",R6&gt;=45,"D",R6&gt;=40,"E",R6&lt;40,"F")</f>
        <v>A</v>
      </c>
      <c r="S7" s="50" t="str" cm="1">
        <f t="array" ref="S7">_xlfn.IFS(S6&gt;= 70,"A",S6&gt;=60,"B",S6&gt;=50,"C",S6&gt;=45,"D",S6&gt;=40,"E",S6&lt;40,"F")</f>
        <v>A</v>
      </c>
      <c r="T7" s="50" t="str" cm="1">
        <f t="array" ref="T7">_xlfn.IFS(T6&gt;= 70,"A",T6&gt;=60,"B",T6&gt;=50,"C",T6&gt;=45,"D",T6&gt;=40,"E",T6&lt;40,"F")</f>
        <v>A</v>
      </c>
      <c r="U7" s="50" t="str" cm="1">
        <f t="array" ref="U7">_xlfn.IFS(U6&gt;= 70,"A",U6&gt;=60,"B",U6&gt;=50,"C",U6&gt;=45,"D",U6&gt;=40,"E",U6&lt;40,"F")</f>
        <v>A</v>
      </c>
      <c r="V7" s="50" t="str" cm="1">
        <f t="array" ref="V7">_xlfn.IFS(V6&gt;= 70,"A",V6&gt;=60,"B",V6&gt;=50,"C",V6&gt;=45,"D",V6&gt;=40,"E",V6&lt;40,"F")</f>
        <v>A</v>
      </c>
      <c r="W7" s="50" t="str" cm="1">
        <f t="array" ref="W7">_xlfn.IFS(W6&gt;= 70,"A",W6&gt;=60,"B",W6&gt;=50,"C",W6&gt;=45,"D",W6&gt;=40,"E",W6&lt;40,"F")</f>
        <v>A</v>
      </c>
      <c r="X7" s="50" t="str" cm="1">
        <f t="array" ref="X7">_xlfn.IFS(X6&gt;= 70,"A",X6&gt;=60,"B",X6&gt;=50,"C",X6&gt;=45,"D",X6&gt;=40,"E",X6&lt;40,"F")</f>
        <v>B</v>
      </c>
      <c r="Y7" s="50" t="str" cm="1">
        <f t="array" ref="Y7">_xlfn.IFS(Y6&gt;= 70,"A",Y6&gt;=60,"B",Y6&gt;=50,"C",Y6&gt;=45,"D",Y6&gt;=40,"E",Y6&lt;40,"F")</f>
        <v>B</v>
      </c>
      <c r="Z7" s="50" t="str" cm="1">
        <f t="array" ref="Z7">_xlfn.IFS(Z6&gt;= 70,"A",Z6&gt;=60,"B",Z6&gt;=50,"C",Z6&gt;=45,"D",Z6&gt;=40,"E",Z6&lt;40,"F")</f>
        <v>B</v>
      </c>
      <c r="AA7" s="50" t="str" cm="1">
        <f t="array" ref="AA7">_xlfn.IFS(AA6&gt;= 70,"A",AA6&gt;=60,"B",AA6&gt;=50,"C",AA6&gt;=45,"D",AA6&gt;=40,"E",AA6&lt;40,"F")</f>
        <v>B</v>
      </c>
      <c r="AB7" s="50" t="str" cm="1">
        <f t="array" ref="AB7">_xlfn.IFS(AB6&gt;= 70,"A",AB6&gt;=60,"B",AB6&gt;=50,"C",AB6&gt;=45,"D",AB6&gt;=40,"E",AB6&lt;40,"F")</f>
        <v>B</v>
      </c>
      <c r="AC7" s="50" t="str" cm="1">
        <f t="array" ref="AC7">_xlfn.IFS(AC6&gt;= 70,"A",AC6&gt;=60,"B",AC6&gt;=50,"C",AC6&gt;=45,"D",AC6&gt;=40,"E",AC6&lt;40,"F")</f>
        <v>B</v>
      </c>
      <c r="AD7" s="50" t="str" cm="1">
        <f t="array" ref="AD7">_xlfn.IFS(AD6&gt;= 70,"A",AD6&gt;=60,"B",AD6&gt;=50,"C",AD6&gt;=45,"D",AD6&gt;=40,"E",AD6&lt;40,"F")</f>
        <v>B</v>
      </c>
      <c r="AE7" s="50" t="str" cm="1">
        <f t="array" ref="AE7">_xlfn.IFS(AE6&gt;= 70,"A",AE6&gt;=60,"B",AE6&gt;=50,"C",AE6&gt;=45,"D",AE6&gt;=40,"E",AE6&lt;40,"F")</f>
        <v>B</v>
      </c>
      <c r="AF7" s="50" t="str" cm="1">
        <f t="array" ref="AF7">_xlfn.IFS(AF6&gt;= 70,"A",AF6&gt;=60,"B",AF6&gt;=50,"C",AF6&gt;=45,"D",AF6&gt;=40,"E",AF6&lt;40,"F")</f>
        <v>B</v>
      </c>
      <c r="AG7" s="7" t="str" cm="1">
        <f t="array" ref="AG7">_xlfn.IFS(BA6&gt;= 70,"A",BA6&gt;=60,"B",BA6&gt;=50,"C",BA6&gt;=45,"D",BA6&gt;=40,"E",BA6&lt;40,"F")</f>
        <v>F</v>
      </c>
      <c r="AH7" s="7" t="str" cm="1">
        <f t="array" ref="AH7">_xlfn.IFS(BB6&gt;= 70,"A",BB6&gt;=60,"B",BB6&gt;=50,"C",BB6&gt;=45,"D",BB6&gt;=40,"E",BB6&lt;40,"F")</f>
        <v>F</v>
      </c>
      <c r="AI7" s="7" t="str" cm="1">
        <f t="array" ref="AI7">_xlfn.IFS(BC6&gt;= 70,"A",BC6&gt;=60,"B",BC6&gt;=50,"C",BC6&gt;=45,"D",BC6&gt;=40,"E",BC6&lt;40,"F")</f>
        <v>F</v>
      </c>
      <c r="AJ7" s="7" t="str" cm="1">
        <f t="array" ref="AJ7">_xlfn.IFS(BD6&gt;= 70,"A",BD6&gt;=60,"B",BD6&gt;=50,"C",BD6&gt;=45,"D",BD6&gt;=40,"E",BD6&lt;40,"F")</f>
        <v>F</v>
      </c>
      <c r="AK7" s="7">
        <v>50</v>
      </c>
      <c r="AL7" s="48" t="str" cm="1">
        <f t="array" ref="AL7">_xlfn.IFS(AK7&gt;= 70,"A",AK7&gt;=60,"B",AK7&gt;=50,"C",AK7&gt;=45,"D",AK7&gt;=40,"E",AK7&lt;40,"F")</f>
        <v>C</v>
      </c>
      <c r="AM7" s="56">
        <f>SUMIFS($I$4:$W$4,I6:W6,"&gt;0")</f>
        <v>23</v>
      </c>
      <c r="AN7" s="47">
        <f>(SUMIFS($I$4:$W$4,I6:W6,"&gt;0")-SUMIFS($I$4:$W$4,I7:W7,"F"))</f>
        <v>23</v>
      </c>
      <c r="AO7" s="56">
        <f>SUMIFS($I$4:$W$4,I7:W7,"F")</f>
        <v>0</v>
      </c>
      <c r="AP7" s="76"/>
      <c r="AQ7" s="74"/>
      <c r="AR7" s="76"/>
      <c r="AS7" s="52"/>
    </row>
    <row r="8" spans="1:51" ht="30" customHeight="1" thickTop="1" x14ac:dyDescent="0.3">
      <c r="A8" s="100">
        <v>2</v>
      </c>
      <c r="B8" s="72"/>
      <c r="C8" s="121"/>
      <c r="D8" s="122"/>
      <c r="E8" s="122"/>
      <c r="F8" s="122"/>
      <c r="G8" s="122"/>
      <c r="H8" s="122"/>
      <c r="I8" s="49">
        <v>60</v>
      </c>
      <c r="J8" s="49">
        <v>67</v>
      </c>
      <c r="K8" s="49">
        <v>65</v>
      </c>
      <c r="L8" s="49">
        <v>64</v>
      </c>
      <c r="M8" s="49">
        <v>68</v>
      </c>
      <c r="N8" s="49">
        <v>69</v>
      </c>
      <c r="O8" s="49">
        <v>64</v>
      </c>
      <c r="P8" s="49">
        <v>63</v>
      </c>
      <c r="Q8" s="49">
        <v>62</v>
      </c>
      <c r="R8" s="49">
        <v>61</v>
      </c>
      <c r="S8" s="49">
        <v>60</v>
      </c>
      <c r="T8" s="49">
        <v>67</v>
      </c>
      <c r="U8" s="49">
        <v>65</v>
      </c>
      <c r="V8" s="49">
        <v>66</v>
      </c>
      <c r="W8" s="49">
        <v>67</v>
      </c>
      <c r="X8" s="49">
        <v>60</v>
      </c>
      <c r="Y8" s="49">
        <v>61</v>
      </c>
      <c r="Z8" s="49">
        <v>62</v>
      </c>
      <c r="AA8" s="49">
        <v>63</v>
      </c>
      <c r="AB8" s="49">
        <v>64</v>
      </c>
      <c r="AC8" s="49">
        <v>65</v>
      </c>
      <c r="AD8" s="49">
        <v>66</v>
      </c>
      <c r="AE8" s="49">
        <v>67</v>
      </c>
      <c r="AF8" s="49">
        <v>68</v>
      </c>
      <c r="AG8" s="7">
        <v>40</v>
      </c>
      <c r="AH8" s="48" t="str" cm="1">
        <f t="array" ref="AH8">_xlfn.IFS(AG8&gt;= 70,"A",AG8&gt;=60,"B",AG8&gt;=50,"C",AG8&gt;=45,"D",AG8&gt;=40,"E",AG8&lt;40,"F")</f>
        <v>E</v>
      </c>
      <c r="AI8" s="7">
        <v>40</v>
      </c>
      <c r="AJ8" s="48" t="str" cm="1">
        <f t="array" ref="AJ8">_xlfn.IFS(AI8&gt;= 70,"A",AI8&gt;=60,"B",AI8&gt;=50,"C",AI8&gt;=45,"D",AI8&gt;=40,"E",AI8&lt;40,"F")</f>
        <v>E</v>
      </c>
      <c r="AK8" s="7">
        <v>40</v>
      </c>
      <c r="AL8" s="48" t="str" cm="1">
        <f t="array" ref="AL8">_xlfn.IFS(AK8&gt;= 70,"A",AK8&gt;=60,"B",AK8&gt;=50,"C",AK8&gt;=45,"D",AK8&gt;=40,"E",AK8&lt;40,"F")</f>
        <v>E</v>
      </c>
      <c r="AM8" s="59"/>
      <c r="AN8" s="46"/>
      <c r="AO8" s="59"/>
      <c r="AP8" s="75" cm="1">
        <f t="array" ref="AP8">SUM(VLOOKUP(I9:W9,GRADEPOINT!$A$2:$B$7,2,0)*$I$4:$W$4)</f>
        <v>92</v>
      </c>
      <c r="AQ8" s="73">
        <f t="shared" ref="AQ8" si="0">ROUND(AP8/AM9,2)</f>
        <v>4</v>
      </c>
      <c r="AR8" s="72"/>
      <c r="AS8" s="52"/>
    </row>
    <row r="9" spans="1:51" ht="30" customHeight="1" thickBot="1" x14ac:dyDescent="0.35">
      <c r="A9" s="101"/>
      <c r="B9" s="71"/>
      <c r="C9" s="123"/>
      <c r="D9" s="124"/>
      <c r="E9" s="124"/>
      <c r="F9" s="124"/>
      <c r="G9" s="124"/>
      <c r="H9" s="124"/>
      <c r="I9" s="50" t="str" cm="1">
        <f t="array" ref="I9">_xlfn.IFS(I8&gt;= 70,"A",I8&gt;=60,"B",I8&gt;=50,"C",I8&gt;=45,"D",I8&gt;=40,"E",I8&lt;40,"F")</f>
        <v>B</v>
      </c>
      <c r="J9" s="50" t="str" cm="1">
        <f t="array" ref="J9">_xlfn.IFS(J8&gt;= 70,"A",J8&gt;=60,"B",J8&gt;=50,"C",J8&gt;=45,"D",J8&gt;=40,"E",J8&lt;40,"F")</f>
        <v>B</v>
      </c>
      <c r="K9" s="50" t="str" cm="1">
        <f t="array" ref="K9">_xlfn.IFS(K8&gt;= 70,"A",K8&gt;=60,"B",K8&gt;=50,"C",K8&gt;=45,"D",K8&gt;=40,"E",K8&lt;40,"F")</f>
        <v>B</v>
      </c>
      <c r="L9" s="50" t="str" cm="1">
        <f t="array" ref="L9">_xlfn.IFS(L8&gt;= 70,"A",L8&gt;=60,"B",L8&gt;=50,"C",L8&gt;=45,"D",L8&gt;=40,"E",L8&lt;40,"F")</f>
        <v>B</v>
      </c>
      <c r="M9" s="50" t="str" cm="1">
        <f t="array" ref="M9">_xlfn.IFS(M8&gt;= 70,"A",M8&gt;=60,"B",M8&gt;=50,"C",M8&gt;=45,"D",M8&gt;=40,"E",M8&lt;40,"F")</f>
        <v>B</v>
      </c>
      <c r="N9" s="50" t="str" cm="1">
        <f t="array" ref="N9">_xlfn.IFS(N8&gt;= 70,"A",N8&gt;=60,"B",N8&gt;=50,"C",N8&gt;=45,"D",N8&gt;=40,"E",N8&lt;40,"F")</f>
        <v>B</v>
      </c>
      <c r="O9" s="50" t="str" cm="1">
        <f t="array" ref="O9">_xlfn.IFS(O8&gt;= 70,"A",O8&gt;=60,"B",O8&gt;=50,"C",O8&gt;=45,"D",O8&gt;=40,"E",O8&lt;40,"F")</f>
        <v>B</v>
      </c>
      <c r="P9" s="50" t="str" cm="1">
        <f t="array" ref="P9">_xlfn.IFS(P8&gt;= 70,"A",P8&gt;=60,"B",P8&gt;=50,"C",P8&gt;=45,"D",P8&gt;=40,"E",P8&lt;40,"F")</f>
        <v>B</v>
      </c>
      <c r="Q9" s="50" t="str" cm="1">
        <f t="array" ref="Q9">_xlfn.IFS(Q8&gt;= 70,"A",Q8&gt;=60,"B",Q8&gt;=50,"C",Q8&gt;=45,"D",Q8&gt;=40,"E",Q8&lt;40,"F")</f>
        <v>B</v>
      </c>
      <c r="R9" s="50" t="str" cm="1">
        <f t="array" ref="R9">_xlfn.IFS(R8&gt;= 70,"A",R8&gt;=60,"B",R8&gt;=50,"C",R8&gt;=45,"D",R8&gt;=40,"E",R8&lt;40,"F")</f>
        <v>B</v>
      </c>
      <c r="S9" s="50" t="str" cm="1">
        <f t="array" ref="S9">_xlfn.IFS(S8&gt;= 70,"A",S8&gt;=60,"B",S8&gt;=50,"C",S8&gt;=45,"D",S8&gt;=40,"E",S8&lt;40,"F")</f>
        <v>B</v>
      </c>
      <c r="T9" s="50" t="str" cm="1">
        <f t="array" ref="T9">_xlfn.IFS(T8&gt;= 70,"A",T8&gt;=60,"B",T8&gt;=50,"C",T8&gt;=45,"D",T8&gt;=40,"E",T8&lt;40,"F")</f>
        <v>B</v>
      </c>
      <c r="U9" s="50" t="str" cm="1">
        <f t="array" ref="U9">_xlfn.IFS(U8&gt;= 70,"A",U8&gt;=60,"B",U8&gt;=50,"C",U8&gt;=45,"D",U8&gt;=40,"E",U8&lt;40,"F")</f>
        <v>B</v>
      </c>
      <c r="V9" s="50" t="str" cm="1">
        <f t="array" ref="V9">_xlfn.IFS(V8&gt;= 70,"A",V8&gt;=60,"B",V8&gt;=50,"C",V8&gt;=45,"D",V8&gt;=40,"E",V8&lt;40,"F")</f>
        <v>B</v>
      </c>
      <c r="W9" s="50" t="str" cm="1">
        <f t="array" ref="W9">_xlfn.IFS(W8&gt;= 70,"A",W8&gt;=60,"B",W8&gt;=50,"C",W8&gt;=45,"D",W8&gt;=40,"E",W8&lt;40,"F")</f>
        <v>B</v>
      </c>
      <c r="X9" s="50" t="str" cm="1">
        <f t="array" ref="X9">_xlfn.IFS(X8&gt;= 70,"A",X8&gt;=60,"B",X8&gt;=50,"C",X8&gt;=45,"D",X8&gt;=40,"E",X8&lt;40,"F")</f>
        <v>B</v>
      </c>
      <c r="Y9" s="50" t="str" cm="1">
        <f t="array" ref="Y9">_xlfn.IFS(Y8&gt;= 70,"A",Y8&gt;=60,"B",Y8&gt;=50,"C",Y8&gt;=45,"D",Y8&gt;=40,"E",Y8&lt;40,"F")</f>
        <v>B</v>
      </c>
      <c r="Z9" s="50" t="str" cm="1">
        <f t="array" ref="Z9">_xlfn.IFS(Z8&gt;= 70,"A",Z8&gt;=60,"B",Z8&gt;=50,"C",Z8&gt;=45,"D",Z8&gt;=40,"E",Z8&lt;40,"F")</f>
        <v>B</v>
      </c>
      <c r="AA9" s="50" t="str" cm="1">
        <f t="array" ref="AA9">_xlfn.IFS(AA8&gt;= 70,"A",AA8&gt;=60,"B",AA8&gt;=50,"C",AA8&gt;=45,"D",AA8&gt;=40,"E",AA8&lt;40,"F")</f>
        <v>B</v>
      </c>
      <c r="AB9" s="50" t="str" cm="1">
        <f t="array" ref="AB9">_xlfn.IFS(AB8&gt;= 70,"A",AB8&gt;=60,"B",AB8&gt;=50,"C",AB8&gt;=45,"D",AB8&gt;=40,"E",AB8&lt;40,"F")</f>
        <v>B</v>
      </c>
      <c r="AC9" s="50" t="str" cm="1">
        <f t="array" ref="AC9">_xlfn.IFS(AC8&gt;= 70,"A",AC8&gt;=60,"B",AC8&gt;=50,"C",AC8&gt;=45,"D",AC8&gt;=40,"E",AC8&lt;40,"F")</f>
        <v>B</v>
      </c>
      <c r="AD9" s="50" t="str" cm="1">
        <f t="array" ref="AD9">_xlfn.IFS(AD8&gt;= 70,"A",AD8&gt;=60,"B",AD8&gt;=50,"C",AD8&gt;=45,"D",AD8&gt;=40,"E",AD8&lt;40,"F")</f>
        <v>B</v>
      </c>
      <c r="AE9" s="50" t="str" cm="1">
        <f t="array" ref="AE9">_xlfn.IFS(AE8&gt;= 70,"A",AE8&gt;=60,"B",AE8&gt;=50,"C",AE8&gt;=45,"D",AE8&gt;=40,"E",AE8&lt;40,"F")</f>
        <v>B</v>
      </c>
      <c r="AF9" s="50" t="str" cm="1">
        <f t="array" ref="AF9">_xlfn.IFS(AF8&gt;= 70,"A",AF8&gt;=60,"B",AF8&gt;=50,"C",AF8&gt;=45,"D",AF8&gt;=40,"E",AF8&lt;40,"F")</f>
        <v>B</v>
      </c>
      <c r="AG9" s="7">
        <v>35</v>
      </c>
      <c r="AH9" s="48" t="str" cm="1">
        <f t="array" ref="AH9">_xlfn.IFS(AG9&gt;= 70,"A",AG9&gt;=60,"B",AG9&gt;=50,"C",AG9&gt;=45,"D",AG9&gt;=40,"E",AG9&lt;40,"F")</f>
        <v>F</v>
      </c>
      <c r="AI9" s="7">
        <v>35</v>
      </c>
      <c r="AJ9" s="48" t="str" cm="1">
        <f t="array" ref="AJ9">_xlfn.IFS(AI9&gt;= 70,"A",AI9&gt;=60,"B",AI9&gt;=50,"C",AI9&gt;=45,"D",AI9&gt;=40,"E",AI9&lt;40,"F")</f>
        <v>F</v>
      </c>
      <c r="AK9" s="7">
        <v>35</v>
      </c>
      <c r="AL9" s="48" t="str" cm="1">
        <f t="array" ref="AL9">_xlfn.IFS(AK9&gt;= 70,"A",AK9&gt;=60,"B",AK9&gt;=50,"C",AK9&gt;=45,"D",AK9&gt;=40,"E",AK9&lt;40,"F")</f>
        <v>F</v>
      </c>
      <c r="AM9" s="56">
        <f t="shared" ref="AM9" si="1">SUMIFS($I$4:$W$4,I8:W8,"&gt;0")</f>
        <v>23</v>
      </c>
      <c r="AN9" s="47">
        <f t="shared" ref="AN9" si="2">(SUMIFS($I$4:$W$4,I8:W8,"&gt;0")-SUMIFS($I$4:$W$4,I9:W9,"F"))</f>
        <v>23</v>
      </c>
      <c r="AO9" s="56">
        <f t="shared" ref="AO9" si="3">SUMIFS($I$4:$W$4,I9:W9,"F")</f>
        <v>0</v>
      </c>
      <c r="AP9" s="76"/>
      <c r="AQ9" s="74"/>
      <c r="AR9" s="71"/>
      <c r="AS9" s="52"/>
    </row>
    <row r="10" spans="1:51" ht="30" customHeight="1" thickTop="1" x14ac:dyDescent="0.3">
      <c r="A10" s="102">
        <v>3</v>
      </c>
      <c r="B10" s="72"/>
      <c r="C10" s="121"/>
      <c r="D10" s="122"/>
      <c r="E10" s="122"/>
      <c r="F10" s="122"/>
      <c r="G10" s="122"/>
      <c r="H10" s="122"/>
      <c r="I10" s="49">
        <v>64</v>
      </c>
      <c r="J10" s="49">
        <v>34</v>
      </c>
      <c r="K10" s="49">
        <v>56</v>
      </c>
      <c r="L10" s="49">
        <v>28</v>
      </c>
      <c r="M10" s="49">
        <v>78</v>
      </c>
      <c r="N10" s="49">
        <v>65</v>
      </c>
      <c r="O10" s="49">
        <v>40</v>
      </c>
      <c r="P10" s="49">
        <v>74</v>
      </c>
      <c r="Q10" s="49">
        <v>88</v>
      </c>
      <c r="R10" s="49">
        <v>61</v>
      </c>
      <c r="S10" s="49">
        <v>30</v>
      </c>
      <c r="T10" s="49">
        <v>45</v>
      </c>
      <c r="U10" s="49">
        <v>49</v>
      </c>
      <c r="V10" s="49">
        <v>80</v>
      </c>
      <c r="W10" s="49">
        <v>70</v>
      </c>
      <c r="X10" s="49">
        <v>60</v>
      </c>
      <c r="Y10" s="49">
        <v>61</v>
      </c>
      <c r="Z10" s="49">
        <v>62</v>
      </c>
      <c r="AA10" s="49">
        <v>63</v>
      </c>
      <c r="AB10" s="49">
        <v>64</v>
      </c>
      <c r="AC10" s="49">
        <v>65</v>
      </c>
      <c r="AD10" s="49">
        <v>66</v>
      </c>
      <c r="AE10" s="49">
        <v>67</v>
      </c>
      <c r="AF10" s="49">
        <v>68</v>
      </c>
      <c r="AG10" s="7">
        <v>60</v>
      </c>
      <c r="AH10" s="48" t="str" cm="1">
        <f t="array" ref="AH10">_xlfn.IFS(AG10&gt;= 70,"A",AG10&gt;=60,"B",AG10&gt;=50,"C",AG10&gt;=45,"D",AG10&gt;=40,"E",AG10&lt;40,"F")</f>
        <v>B</v>
      </c>
      <c r="AI10" s="7">
        <v>60</v>
      </c>
      <c r="AJ10" s="48" t="str" cm="1">
        <f t="array" ref="AJ10">_xlfn.IFS(AI10&gt;= 70,"A",AI10&gt;=60,"B",AI10&gt;=50,"C",AI10&gt;=45,"D",AI10&gt;=40,"E",AI10&lt;40,"F")</f>
        <v>B</v>
      </c>
      <c r="AK10" s="7">
        <v>60</v>
      </c>
      <c r="AL10" s="48" t="str" cm="1">
        <f t="array" ref="AL10">_xlfn.IFS(AK10&gt;= 70,"A",AK10&gt;=60,"B",AK10&gt;=50,"C",AK10&gt;=45,"D",AK10&gt;=40,"E",AK10&lt;40,"F")</f>
        <v>B</v>
      </c>
      <c r="AM10" s="59"/>
      <c r="AN10" s="46"/>
      <c r="AO10" s="59"/>
      <c r="AP10" s="75" cm="1">
        <f t="array" ref="AP10">SUM(VLOOKUP(I11:W11,GRADEPOINT!$A$2:$B$7,2,0)*$I$4:$W$4)</f>
        <v>68</v>
      </c>
      <c r="AQ10" s="73">
        <f t="shared" ref="AQ10" si="4">ROUND(AP10/AM11,2)</f>
        <v>2.96</v>
      </c>
      <c r="AR10" s="72"/>
    </row>
    <row r="11" spans="1:51" ht="30" customHeight="1" thickBot="1" x14ac:dyDescent="0.35">
      <c r="A11" s="102"/>
      <c r="B11" s="71"/>
      <c r="C11" s="123"/>
      <c r="D11" s="124"/>
      <c r="E11" s="124"/>
      <c r="F11" s="124"/>
      <c r="G11" s="124"/>
      <c r="H11" s="124"/>
      <c r="I11" s="50" t="str" cm="1">
        <f t="array" ref="I11">_xlfn.IFS(I10&gt;= 70,"A",I10&gt;=60,"B",I10&gt;=50,"C",I10&gt;=45,"D",I10&gt;=40,"E",I10&lt;40,"F")</f>
        <v>B</v>
      </c>
      <c r="J11" s="50" t="str" cm="1">
        <f t="array" ref="J11">_xlfn.IFS(J10&gt;= 70,"A",J10&gt;=60,"B",J10&gt;=50,"C",J10&gt;=45,"D",J10&gt;=40,"E",J10&lt;40,"F")</f>
        <v>F</v>
      </c>
      <c r="K11" s="50" t="str" cm="1">
        <f t="array" ref="K11">_xlfn.IFS(K10&gt;= 70,"A",K10&gt;=60,"B",K10&gt;=50,"C",K10&gt;=45,"D",K10&gt;=40,"E",K10&lt;40,"F")</f>
        <v>C</v>
      </c>
      <c r="L11" s="50" t="str" cm="1">
        <f t="array" ref="L11">_xlfn.IFS(L10&gt;= 70,"A",L10&gt;=60,"B",L10&gt;=50,"C",L10&gt;=45,"D",L10&gt;=40,"E",L10&lt;40,"F")</f>
        <v>F</v>
      </c>
      <c r="M11" s="50" t="str" cm="1">
        <f t="array" ref="M11">_xlfn.IFS(M10&gt;= 70,"A",M10&gt;=60,"B",M10&gt;=50,"C",M10&gt;=45,"D",M10&gt;=40,"E",M10&lt;40,"F")</f>
        <v>A</v>
      </c>
      <c r="N11" s="50" t="str" cm="1">
        <f t="array" ref="N11">_xlfn.IFS(N10&gt;= 70,"A",N10&gt;=60,"B",N10&gt;=50,"C",N10&gt;=45,"D",N10&gt;=40,"E",N10&lt;40,"F")</f>
        <v>B</v>
      </c>
      <c r="O11" s="50" t="str" cm="1">
        <f t="array" ref="O11">_xlfn.IFS(O10&gt;= 70,"A",O10&gt;=60,"B",O10&gt;=50,"C",O10&gt;=45,"D",O10&gt;=40,"E",O10&lt;40,"F")</f>
        <v>E</v>
      </c>
      <c r="P11" s="50" t="str" cm="1">
        <f t="array" ref="P11">_xlfn.IFS(P10&gt;= 70,"A",P10&gt;=60,"B",P10&gt;=50,"C",P10&gt;=45,"D",P10&gt;=40,"E",P10&lt;40,"F")</f>
        <v>A</v>
      </c>
      <c r="Q11" s="50" t="str" cm="1">
        <f t="array" ref="Q11">_xlfn.IFS(Q10&gt;= 70,"A",Q10&gt;=60,"B",Q10&gt;=50,"C",Q10&gt;=45,"D",Q10&gt;=40,"E",Q10&lt;40,"F")</f>
        <v>A</v>
      </c>
      <c r="R11" s="50" t="str" cm="1">
        <f t="array" ref="R11">_xlfn.IFS(R10&gt;= 70,"A",R10&gt;=60,"B",R10&gt;=50,"C",R10&gt;=45,"D",R10&gt;=40,"E",R10&lt;40,"F")</f>
        <v>B</v>
      </c>
      <c r="S11" s="50" t="str" cm="1">
        <f t="array" ref="S11">_xlfn.IFS(S10&gt;= 70,"A",S10&gt;=60,"B",S10&gt;=50,"C",S10&gt;=45,"D",S10&gt;=40,"E",S10&lt;40,"F")</f>
        <v>F</v>
      </c>
      <c r="T11" s="50" t="str" cm="1">
        <f t="array" ref="T11">_xlfn.IFS(T10&gt;= 70,"A",T10&gt;=60,"B",T10&gt;=50,"C",T10&gt;=45,"D",T10&gt;=40,"E",T10&lt;40,"F")</f>
        <v>D</v>
      </c>
      <c r="U11" s="50" t="str" cm="1">
        <f t="array" ref="U11">_xlfn.IFS(U10&gt;= 70,"A",U10&gt;=60,"B",U10&gt;=50,"C",U10&gt;=45,"D",U10&gt;=40,"E",U10&lt;40,"F")</f>
        <v>D</v>
      </c>
      <c r="V11" s="50" t="str" cm="1">
        <f t="array" ref="V11">_xlfn.IFS(V10&gt;= 70,"A",V10&gt;=60,"B",V10&gt;=50,"C",V10&gt;=45,"D",V10&gt;=40,"E",V10&lt;40,"F")</f>
        <v>A</v>
      </c>
      <c r="W11" s="50" t="str" cm="1">
        <f t="array" ref="W11">_xlfn.IFS(W10&gt;= 70,"A",W10&gt;=60,"B",W10&gt;=50,"C",W10&gt;=45,"D",W10&gt;=40,"E",W10&lt;40,"F")</f>
        <v>A</v>
      </c>
      <c r="X11" s="50" t="str" cm="1">
        <f t="array" ref="X11">_xlfn.IFS(X10&gt;= 70,"A",X10&gt;=60,"B",X10&gt;=50,"C",X10&gt;=45,"D",X10&gt;=40,"E",X10&lt;40,"F")</f>
        <v>B</v>
      </c>
      <c r="Y11" s="50" t="str" cm="1">
        <f t="array" ref="Y11">_xlfn.IFS(Y10&gt;= 70,"A",Y10&gt;=60,"B",Y10&gt;=50,"C",Y10&gt;=45,"D",Y10&gt;=40,"E",Y10&lt;40,"F")</f>
        <v>B</v>
      </c>
      <c r="Z11" s="50" t="str" cm="1">
        <f t="array" ref="Z11">_xlfn.IFS(Z10&gt;= 70,"A",Z10&gt;=60,"B",Z10&gt;=50,"C",Z10&gt;=45,"D",Z10&gt;=40,"E",Z10&lt;40,"F")</f>
        <v>B</v>
      </c>
      <c r="AA11" s="50" t="str" cm="1">
        <f t="array" ref="AA11">_xlfn.IFS(AA10&gt;= 70,"A",AA10&gt;=60,"B",AA10&gt;=50,"C",AA10&gt;=45,"D",AA10&gt;=40,"E",AA10&lt;40,"F")</f>
        <v>B</v>
      </c>
      <c r="AB11" s="50" t="str" cm="1">
        <f t="array" ref="AB11">_xlfn.IFS(AB10&gt;= 70,"A",AB10&gt;=60,"B",AB10&gt;=50,"C",AB10&gt;=45,"D",AB10&gt;=40,"E",AB10&lt;40,"F")</f>
        <v>B</v>
      </c>
      <c r="AC11" s="50" t="str" cm="1">
        <f t="array" ref="AC11">_xlfn.IFS(AC10&gt;= 70,"A",AC10&gt;=60,"B",AC10&gt;=50,"C",AC10&gt;=45,"D",AC10&gt;=40,"E",AC10&lt;40,"F")</f>
        <v>B</v>
      </c>
      <c r="AD11" s="50" t="str" cm="1">
        <f t="array" ref="AD11">_xlfn.IFS(AD10&gt;= 70,"A",AD10&gt;=60,"B",AD10&gt;=50,"C",AD10&gt;=45,"D",AD10&gt;=40,"E",AD10&lt;40,"F")</f>
        <v>B</v>
      </c>
      <c r="AE11" s="50" t="str" cm="1">
        <f t="array" ref="AE11">_xlfn.IFS(AE10&gt;= 70,"A",AE10&gt;=60,"B",AE10&gt;=50,"C",AE10&gt;=45,"D",AE10&gt;=40,"E",AE10&lt;40,"F")</f>
        <v>B</v>
      </c>
      <c r="AF11" s="50" t="str" cm="1">
        <f t="array" ref="AF11">_xlfn.IFS(AF10&gt;= 70,"A",AF10&gt;=60,"B",AF10&gt;=50,"C",AF10&gt;=45,"D",AF10&gt;=40,"E",AF10&lt;40,"F")</f>
        <v>B</v>
      </c>
      <c r="AG11" s="7">
        <v>57</v>
      </c>
      <c r="AH11" s="48" t="str" cm="1">
        <f t="array" ref="AH11">_xlfn.IFS(AG11&gt;= 70,"A",AG11&gt;=60,"B",AG11&gt;=50,"C",AG11&gt;=45,"D",AG11&gt;=40,"E",AG11&lt;40,"F")</f>
        <v>C</v>
      </c>
      <c r="AI11" s="7">
        <v>57</v>
      </c>
      <c r="AJ11" s="48" t="str" cm="1">
        <f t="array" ref="AJ11">_xlfn.IFS(AI11&gt;= 70,"A",AI11&gt;=60,"B",AI11&gt;=50,"C",AI11&gt;=45,"D",AI11&gt;=40,"E",AI11&lt;40,"F")</f>
        <v>C</v>
      </c>
      <c r="AK11" s="7">
        <v>57</v>
      </c>
      <c r="AL11" s="48" t="str" cm="1">
        <f t="array" ref="AL11">_xlfn.IFS(AK11&gt;= 70,"A",AK11&gt;=60,"B",AK11&gt;=50,"C",AK11&gt;=45,"D",AK11&gt;=40,"E",AK11&lt;40,"F")</f>
        <v>C</v>
      </c>
      <c r="AM11" s="56">
        <f t="shared" ref="AM11" si="5">SUMIFS($I$4:$W$4,I10:W10,"&gt;0")</f>
        <v>23</v>
      </c>
      <c r="AN11" s="47">
        <f t="shared" ref="AN11" si="6">(SUMIFS($I$4:$W$4,I10:W10,"&gt;0")-SUMIFS($I$4:$W$4,I11:W11,"F"))</f>
        <v>18</v>
      </c>
      <c r="AO11" s="56">
        <f t="shared" ref="AO11" si="7">SUMIFS($I$4:$W$4,I11:W11,"F")</f>
        <v>5</v>
      </c>
      <c r="AP11" s="76"/>
      <c r="AQ11" s="74"/>
      <c r="AR11" s="71"/>
    </row>
    <row r="12" spans="1:51" ht="30" customHeight="1" thickTop="1" x14ac:dyDescent="0.3">
      <c r="A12" s="103">
        <v>4</v>
      </c>
      <c r="B12" s="72"/>
      <c r="C12" s="121"/>
      <c r="D12" s="122"/>
      <c r="E12" s="122"/>
      <c r="F12" s="122"/>
      <c r="G12" s="122"/>
      <c r="H12" s="128"/>
      <c r="I12" s="49">
        <v>70</v>
      </c>
      <c r="J12" s="49">
        <v>70</v>
      </c>
      <c r="K12" s="49">
        <v>70</v>
      </c>
      <c r="L12" s="49">
        <v>70</v>
      </c>
      <c r="M12" s="49">
        <v>70</v>
      </c>
      <c r="N12" s="49">
        <v>80</v>
      </c>
      <c r="O12" s="49">
        <v>23</v>
      </c>
      <c r="P12" s="49">
        <v>34</v>
      </c>
      <c r="Q12" s="49">
        <v>21</v>
      </c>
      <c r="R12" s="49">
        <v>56</v>
      </c>
      <c r="S12" s="49">
        <v>25</v>
      </c>
      <c r="T12" s="49">
        <v>34</v>
      </c>
      <c r="U12" s="49">
        <v>31</v>
      </c>
      <c r="V12" s="49">
        <v>97</v>
      </c>
      <c r="W12" s="49">
        <v>29</v>
      </c>
      <c r="X12" s="49">
        <v>60</v>
      </c>
      <c r="Y12" s="49">
        <v>61</v>
      </c>
      <c r="Z12" s="49">
        <v>62</v>
      </c>
      <c r="AA12" s="49">
        <v>63</v>
      </c>
      <c r="AB12" s="49">
        <v>64</v>
      </c>
      <c r="AC12" s="49">
        <v>65</v>
      </c>
      <c r="AD12" s="49">
        <v>66</v>
      </c>
      <c r="AE12" s="49">
        <v>67</v>
      </c>
      <c r="AF12" s="49">
        <v>68</v>
      </c>
      <c r="AG12" s="7">
        <v>67</v>
      </c>
      <c r="AH12" s="48" t="str" cm="1">
        <f t="array" ref="AH12">_xlfn.IFS(AG12&gt;= 70,"A",AG12&gt;=60,"B",AG12&gt;=50,"C",AG12&gt;=45,"D",AG12&gt;=40,"E",AG12&lt;40,"F")</f>
        <v>B</v>
      </c>
      <c r="AI12" s="7">
        <v>67</v>
      </c>
      <c r="AJ12" s="48" t="str" cm="1">
        <f t="array" ref="AJ12">_xlfn.IFS(AI12&gt;= 70,"A",AI12&gt;=60,"B",AI12&gt;=50,"C",AI12&gt;=45,"D",AI12&gt;=40,"E",AI12&lt;40,"F")</f>
        <v>B</v>
      </c>
      <c r="AK12" s="7">
        <v>67</v>
      </c>
      <c r="AL12" s="48" t="str" cm="1">
        <f t="array" ref="AL12">_xlfn.IFS(AK12&gt;= 70,"A",AK12&gt;=60,"B",AK12&gt;=50,"C",AK12&gt;=45,"D",AK12&gt;=40,"E",AK12&lt;40,"F")</f>
        <v>B</v>
      </c>
      <c r="AM12" s="59"/>
      <c r="AN12" s="46"/>
      <c r="AO12" s="59"/>
      <c r="AP12" s="75" cm="1">
        <f t="array" ref="AP12">SUM(VLOOKUP(I13:W13,GRADEPOINT!$A$2:$B$7,2,0)*$I$4:$W$4)</f>
        <v>63</v>
      </c>
      <c r="AQ12" s="73">
        <f t="shared" ref="AQ12" si="8">ROUND(AP12/AM13,2)</f>
        <v>2.74</v>
      </c>
      <c r="AR12" s="72"/>
    </row>
    <row r="13" spans="1:51" ht="30" customHeight="1" thickBot="1" x14ac:dyDescent="0.35">
      <c r="A13" s="102"/>
      <c r="B13" s="71"/>
      <c r="C13" s="123"/>
      <c r="D13" s="124"/>
      <c r="E13" s="124"/>
      <c r="F13" s="124"/>
      <c r="G13" s="124"/>
      <c r="H13" s="129"/>
      <c r="I13" s="50" t="str" cm="1">
        <f t="array" ref="I13">_xlfn.IFS(I12&gt;= 70,"A",I12&gt;=60,"B",I12&gt;=50,"C",I12&gt;=45,"D",I12&gt;=40,"E",I12&lt;40,"F")</f>
        <v>A</v>
      </c>
      <c r="J13" s="50" t="str" cm="1">
        <f t="array" ref="J13">_xlfn.IFS(J12&gt;= 70,"A",J12&gt;=60,"B",J12&gt;=50,"C",J12&gt;=45,"D",J12&gt;=40,"E",J12&lt;40,"F")</f>
        <v>A</v>
      </c>
      <c r="K13" s="50" t="str" cm="1">
        <f t="array" ref="K13">_xlfn.IFS(K12&gt;= 70,"A",K12&gt;=60,"B",K12&gt;=50,"C",K12&gt;=45,"D",K12&gt;=40,"E",K12&lt;40,"F")</f>
        <v>A</v>
      </c>
      <c r="L13" s="50" t="str" cm="1">
        <f t="array" ref="L13">_xlfn.IFS(L12&gt;= 70,"A",L12&gt;=60,"B",L12&gt;=50,"C",L12&gt;=45,"D",L12&gt;=40,"E",L12&lt;40,"F")</f>
        <v>A</v>
      </c>
      <c r="M13" s="50" t="str" cm="1">
        <f t="array" ref="M13">_xlfn.IFS(M12&gt;= 70,"A",M12&gt;=60,"B",M12&gt;=50,"C",M12&gt;=45,"D",M12&gt;=40,"E",M12&lt;40,"F")</f>
        <v>A</v>
      </c>
      <c r="N13" s="50" t="str" cm="1">
        <f t="array" ref="N13">_xlfn.IFS(N12&gt;= 70,"A",N12&gt;=60,"B",N12&gt;=50,"C",N12&gt;=45,"D",N12&gt;=40,"E",N12&lt;40,"F")</f>
        <v>A</v>
      </c>
      <c r="O13" s="50" t="str" cm="1">
        <f t="array" ref="O13">_xlfn.IFS(O12&gt;= 70,"A",O12&gt;=60,"B",O12&gt;=50,"C",O12&gt;=45,"D",O12&gt;=40,"E",O12&lt;40,"F")</f>
        <v>F</v>
      </c>
      <c r="P13" s="50" t="str" cm="1">
        <f t="array" ref="P13">_xlfn.IFS(P12&gt;= 70,"A",P12&gt;=60,"B",P12&gt;=50,"C",P12&gt;=45,"D",P12&gt;=40,"E",P12&lt;40,"F")</f>
        <v>F</v>
      </c>
      <c r="Q13" s="50" t="str" cm="1">
        <f t="array" ref="Q13">_xlfn.IFS(Q12&gt;= 70,"A",Q12&gt;=60,"B",Q12&gt;=50,"C",Q12&gt;=45,"D",Q12&gt;=40,"E",Q12&lt;40,"F")</f>
        <v>F</v>
      </c>
      <c r="R13" s="50" t="str" cm="1">
        <f t="array" ref="R13">_xlfn.IFS(R12&gt;= 70,"A",R12&gt;=60,"B",R12&gt;=50,"C",R12&gt;=45,"D",R12&gt;=40,"E",R12&lt;40,"F")</f>
        <v>C</v>
      </c>
      <c r="S13" s="50" t="str" cm="1">
        <f t="array" ref="S13">_xlfn.IFS(S12&gt;= 70,"A",S12&gt;=60,"B",S12&gt;=50,"C",S12&gt;=45,"D",S12&gt;=40,"E",S12&lt;40,"F")</f>
        <v>F</v>
      </c>
      <c r="T13" s="50" t="str" cm="1">
        <f t="array" ref="T13">_xlfn.IFS(T12&gt;= 70,"A",T12&gt;=60,"B",T12&gt;=50,"C",T12&gt;=45,"D",T12&gt;=40,"E",T12&lt;40,"F")</f>
        <v>F</v>
      </c>
      <c r="U13" s="50" t="str" cm="1">
        <f t="array" ref="U13">_xlfn.IFS(U12&gt;= 70,"A",U12&gt;=60,"B",U12&gt;=50,"C",U12&gt;=45,"D",U12&gt;=40,"E",U12&lt;40,"F")</f>
        <v>F</v>
      </c>
      <c r="V13" s="50" t="str" cm="1">
        <f t="array" ref="V13">_xlfn.IFS(V12&gt;= 70,"A",V12&gt;=60,"B",V12&gt;=50,"C",V12&gt;=45,"D",V12&gt;=40,"E",V12&lt;40,"F")</f>
        <v>A</v>
      </c>
      <c r="W13" s="50" t="str" cm="1">
        <f t="array" ref="W13">_xlfn.IFS(W12&gt;= 70,"A",W12&gt;=60,"B",W12&gt;=50,"C",W12&gt;=45,"D",W12&gt;=40,"E",W12&lt;40,"F")</f>
        <v>F</v>
      </c>
      <c r="X13" s="50" t="str" cm="1">
        <f t="array" ref="X13">_xlfn.IFS(X12&gt;= 70,"A",X12&gt;=60,"B",X12&gt;=50,"C",X12&gt;=45,"D",X12&gt;=40,"E",X12&lt;40,"F")</f>
        <v>B</v>
      </c>
      <c r="Y13" s="50" t="str" cm="1">
        <f t="array" ref="Y13">_xlfn.IFS(Y12&gt;= 70,"A",Y12&gt;=60,"B",Y12&gt;=50,"C",Y12&gt;=45,"D",Y12&gt;=40,"E",Y12&lt;40,"F")</f>
        <v>B</v>
      </c>
      <c r="Z13" s="50" t="str" cm="1">
        <f t="array" ref="Z13">_xlfn.IFS(Z12&gt;= 70,"A",Z12&gt;=60,"B",Z12&gt;=50,"C",Z12&gt;=45,"D",Z12&gt;=40,"E",Z12&lt;40,"F")</f>
        <v>B</v>
      </c>
      <c r="AA13" s="50" t="str" cm="1">
        <f t="array" ref="AA13">_xlfn.IFS(AA12&gt;= 70,"A",AA12&gt;=60,"B",AA12&gt;=50,"C",AA12&gt;=45,"D",AA12&gt;=40,"E",AA12&lt;40,"F")</f>
        <v>B</v>
      </c>
      <c r="AB13" s="50" t="str" cm="1">
        <f t="array" ref="AB13">_xlfn.IFS(AB12&gt;= 70,"A",AB12&gt;=60,"B",AB12&gt;=50,"C",AB12&gt;=45,"D",AB12&gt;=40,"E",AB12&lt;40,"F")</f>
        <v>B</v>
      </c>
      <c r="AC13" s="50" t="str" cm="1">
        <f t="array" ref="AC13">_xlfn.IFS(AC12&gt;= 70,"A",AC12&gt;=60,"B",AC12&gt;=50,"C",AC12&gt;=45,"D",AC12&gt;=40,"E",AC12&lt;40,"F")</f>
        <v>B</v>
      </c>
      <c r="AD13" s="50" t="str" cm="1">
        <f t="array" ref="AD13">_xlfn.IFS(AD12&gt;= 70,"A",AD12&gt;=60,"B",AD12&gt;=50,"C",AD12&gt;=45,"D",AD12&gt;=40,"E",AD12&lt;40,"F")</f>
        <v>B</v>
      </c>
      <c r="AE13" s="50" t="str" cm="1">
        <f t="array" ref="AE13">_xlfn.IFS(AE12&gt;= 70,"A",AE12&gt;=60,"B",AE12&gt;=50,"C",AE12&gt;=45,"D",AE12&gt;=40,"E",AE12&lt;40,"F")</f>
        <v>B</v>
      </c>
      <c r="AF13" s="50" t="str" cm="1">
        <f t="array" ref="AF13">_xlfn.IFS(AF12&gt;= 70,"A",AF12&gt;=60,"B",AF12&gt;=50,"C",AF12&gt;=45,"D",AF12&gt;=40,"E",AF12&lt;40,"F")</f>
        <v>B</v>
      </c>
      <c r="AG13" s="7">
        <v>99</v>
      </c>
      <c r="AH13" s="48" t="str" cm="1">
        <f t="array" ref="AH13">_xlfn.IFS(AG13&gt;= 70,"A",AG13&gt;=60,"B",AG13&gt;=50,"C",AG13&gt;=45,"D",AG13&gt;=40,"E",AG13&lt;40,"F")</f>
        <v>A</v>
      </c>
      <c r="AI13" s="7">
        <v>99</v>
      </c>
      <c r="AJ13" s="48" t="str" cm="1">
        <f t="array" ref="AJ13">_xlfn.IFS(AI13&gt;= 70,"A",AI13&gt;=60,"B",AI13&gt;=50,"C",AI13&gt;=45,"D",AI13&gt;=40,"E",AI13&lt;40,"F")</f>
        <v>A</v>
      </c>
      <c r="AK13" s="7">
        <v>99</v>
      </c>
      <c r="AL13" s="48" t="str" cm="1">
        <f t="array" ref="AL13">_xlfn.IFS(AK13&gt;= 70,"A",AK13&gt;=60,"B",AK13&gt;=50,"C",AK13&gt;=45,"D",AK13&gt;=40,"E",AK13&lt;40,"F")</f>
        <v>A</v>
      </c>
      <c r="AM13" s="56">
        <f t="shared" ref="AM13" si="9">SUMIFS($I$4:$W$4,I12:W12,"&gt;0")</f>
        <v>23</v>
      </c>
      <c r="AN13" s="47">
        <f t="shared" ref="AN13" si="10">(SUMIFS($I$4:$W$4,I12:W12,"&gt;0")-SUMIFS($I$4:$W$4,I13:W13,"F"))</f>
        <v>13</v>
      </c>
      <c r="AO13" s="56">
        <f t="shared" ref="AO13" si="11">SUMIFS($I$4:$W$4,I13:W13,"F")</f>
        <v>10</v>
      </c>
      <c r="AP13" s="76"/>
      <c r="AQ13" s="74"/>
      <c r="AR13" s="71"/>
    </row>
    <row r="14" spans="1:51" ht="30" customHeight="1" thickTop="1" x14ac:dyDescent="0.3">
      <c r="A14" s="103">
        <v>5</v>
      </c>
      <c r="B14" s="72"/>
      <c r="C14" s="121"/>
      <c r="D14" s="122"/>
      <c r="E14" s="122"/>
      <c r="F14" s="122"/>
      <c r="G14" s="122"/>
      <c r="H14" s="122"/>
      <c r="I14" s="49">
        <v>45</v>
      </c>
      <c r="J14" s="49">
        <v>46</v>
      </c>
      <c r="K14" s="49">
        <v>47</v>
      </c>
      <c r="L14" s="49">
        <v>48</v>
      </c>
      <c r="M14" s="49">
        <v>49</v>
      </c>
      <c r="N14" s="49">
        <v>50</v>
      </c>
      <c r="O14" s="49">
        <v>51</v>
      </c>
      <c r="P14" s="49">
        <v>52</v>
      </c>
      <c r="Q14" s="49">
        <v>53</v>
      </c>
      <c r="R14" s="49">
        <v>54</v>
      </c>
      <c r="S14" s="49">
        <v>55</v>
      </c>
      <c r="T14" s="49">
        <v>56</v>
      </c>
      <c r="U14" s="49">
        <v>57</v>
      </c>
      <c r="V14" s="49">
        <v>58</v>
      </c>
      <c r="W14" s="49">
        <v>59</v>
      </c>
      <c r="X14" s="49">
        <v>60</v>
      </c>
      <c r="Y14" s="49">
        <v>61</v>
      </c>
      <c r="Z14" s="49">
        <v>62</v>
      </c>
      <c r="AA14" s="49">
        <v>63</v>
      </c>
      <c r="AB14" s="49">
        <v>64</v>
      </c>
      <c r="AC14" s="49">
        <v>65</v>
      </c>
      <c r="AD14" s="49">
        <v>66</v>
      </c>
      <c r="AE14" s="49">
        <v>67</v>
      </c>
      <c r="AF14" s="49">
        <v>68</v>
      </c>
      <c r="AG14" s="7">
        <v>46</v>
      </c>
      <c r="AH14" s="48" t="str" cm="1">
        <f t="array" ref="AH14">_xlfn.IFS(AG14&gt;= 70,"A",AG14&gt;=60,"B",AG14&gt;=50,"C",AG14&gt;=45,"D",AG14&gt;=40,"E",AG14&lt;40,"F")</f>
        <v>D</v>
      </c>
      <c r="AI14" s="7">
        <v>46</v>
      </c>
      <c r="AJ14" s="48" t="str" cm="1">
        <f t="array" ref="AJ14">_xlfn.IFS(AI14&gt;= 70,"A",AI14&gt;=60,"B",AI14&gt;=50,"C",AI14&gt;=45,"D",AI14&gt;=40,"E",AI14&lt;40,"F")</f>
        <v>D</v>
      </c>
      <c r="AK14" s="7">
        <v>46</v>
      </c>
      <c r="AL14" s="48" t="str" cm="1">
        <f t="array" ref="AL14">_xlfn.IFS(AK14&gt;= 70,"A",AK14&gt;=60,"B",AK14&gt;=50,"C",AK14&gt;=45,"D",AK14&gt;=40,"E",AK14&lt;40,"F")</f>
        <v>D</v>
      </c>
      <c r="AM14" s="59"/>
      <c r="AN14" s="46"/>
      <c r="AO14" s="59"/>
      <c r="AP14" s="75" cm="1">
        <f t="array" ref="AP14">SUM(VLOOKUP(I15:W15,GRADEPOINT!$A$2:$B$7,2,0)*$I$4:$W$4)</f>
        <v>61</v>
      </c>
      <c r="AQ14" s="73">
        <f t="shared" ref="AQ14" si="12">ROUND(AP14/AM15,2)</f>
        <v>2.65</v>
      </c>
      <c r="AR14" s="72"/>
    </row>
    <row r="15" spans="1:51" ht="30" customHeight="1" thickBot="1" x14ac:dyDescent="0.35">
      <c r="A15" s="102"/>
      <c r="B15" s="107"/>
      <c r="C15" s="123"/>
      <c r="D15" s="124"/>
      <c r="E15" s="124"/>
      <c r="F15" s="124"/>
      <c r="G15" s="124"/>
      <c r="H15" s="124"/>
      <c r="I15" s="50" t="str" cm="1">
        <f t="array" ref="I15">_xlfn.IFS(I14&gt;= 70,"A",I14&gt;=60,"B",I14&gt;=50,"C",I14&gt;=45,"D",I14&gt;=40,"E",I14&lt;40,"F")</f>
        <v>D</v>
      </c>
      <c r="J15" s="50" t="str" cm="1">
        <f t="array" ref="J15">_xlfn.IFS(J14&gt;= 70,"A",J14&gt;=60,"B",J14&gt;=50,"C",J14&gt;=45,"D",J14&gt;=40,"E",J14&lt;40,"F")</f>
        <v>D</v>
      </c>
      <c r="K15" s="50" t="str" cm="1">
        <f t="array" ref="K15">_xlfn.IFS(K14&gt;= 70,"A",K14&gt;=60,"B",K14&gt;=50,"C",K14&gt;=45,"D",K14&gt;=40,"E",K14&lt;40,"F")</f>
        <v>D</v>
      </c>
      <c r="L15" s="50" t="str" cm="1">
        <f t="array" ref="L15">_xlfn.IFS(L14&gt;= 70,"A",L14&gt;=60,"B",L14&gt;=50,"C",L14&gt;=45,"D",L14&gt;=40,"E",L14&lt;40,"F")</f>
        <v>D</v>
      </c>
      <c r="M15" s="50" t="str" cm="1">
        <f t="array" ref="M15">_xlfn.IFS(M14&gt;= 70,"A",M14&gt;=60,"B",M14&gt;=50,"C",M14&gt;=45,"D",M14&gt;=40,"E",M14&lt;40,"F")</f>
        <v>D</v>
      </c>
      <c r="N15" s="50" t="str" cm="1">
        <f t="array" ref="N15">_xlfn.IFS(N14&gt;= 70,"A",N14&gt;=60,"B",N14&gt;=50,"C",N14&gt;=45,"D",N14&gt;=40,"E",N14&lt;40,"F")</f>
        <v>C</v>
      </c>
      <c r="O15" s="50" t="str" cm="1">
        <f t="array" ref="O15">_xlfn.IFS(O14&gt;= 70,"A",O14&gt;=60,"B",O14&gt;=50,"C",O14&gt;=45,"D",O14&gt;=40,"E",O14&lt;40,"F")</f>
        <v>C</v>
      </c>
      <c r="P15" s="50" t="str" cm="1">
        <f t="array" ref="P15">_xlfn.IFS(P14&gt;= 70,"A",P14&gt;=60,"B",P14&gt;=50,"C",P14&gt;=45,"D",P14&gt;=40,"E",P14&lt;40,"F")</f>
        <v>C</v>
      </c>
      <c r="Q15" s="50" t="str" cm="1">
        <f t="array" ref="Q15">_xlfn.IFS(Q14&gt;= 70,"A",Q14&gt;=60,"B",Q14&gt;=50,"C",Q14&gt;=45,"D",Q14&gt;=40,"E",Q14&lt;40,"F")</f>
        <v>C</v>
      </c>
      <c r="R15" s="50" t="str" cm="1">
        <f t="array" ref="R15">_xlfn.IFS(R14&gt;= 70,"A",R14&gt;=60,"B",R14&gt;=50,"C",R14&gt;=45,"D",R14&gt;=40,"E",R14&lt;40,"F")</f>
        <v>C</v>
      </c>
      <c r="S15" s="50" t="str" cm="1">
        <f t="array" ref="S15">_xlfn.IFS(S14&gt;= 70,"A",S14&gt;=60,"B",S14&gt;=50,"C",S14&gt;=45,"D",S14&gt;=40,"E",S14&lt;40,"F")</f>
        <v>C</v>
      </c>
      <c r="T15" s="50" t="str" cm="1">
        <f t="array" ref="T15">_xlfn.IFS(T14&gt;= 70,"A",T14&gt;=60,"B",T14&gt;=50,"C",T14&gt;=45,"D",T14&gt;=40,"E",T14&lt;40,"F")</f>
        <v>C</v>
      </c>
      <c r="U15" s="50" t="str" cm="1">
        <f t="array" ref="U15">_xlfn.IFS(U14&gt;= 70,"A",U14&gt;=60,"B",U14&gt;=50,"C",U14&gt;=45,"D",U14&gt;=40,"E",U14&lt;40,"F")</f>
        <v>C</v>
      </c>
      <c r="V15" s="50" t="str" cm="1">
        <f t="array" ref="V15">_xlfn.IFS(V14&gt;= 70,"A",V14&gt;=60,"B",V14&gt;=50,"C",V14&gt;=45,"D",V14&gt;=40,"E",V14&lt;40,"F")</f>
        <v>C</v>
      </c>
      <c r="W15" s="50" t="str" cm="1">
        <f t="array" ref="W15">_xlfn.IFS(W14&gt;= 70,"A",W14&gt;=60,"B",W14&gt;=50,"C",W14&gt;=45,"D",W14&gt;=40,"E",W14&lt;40,"F")</f>
        <v>C</v>
      </c>
      <c r="X15" s="50" t="str" cm="1">
        <f t="array" ref="X15">_xlfn.IFS(X14&gt;= 70,"A",X14&gt;=60,"B",X14&gt;=50,"C",X14&gt;=45,"D",X14&gt;=40,"E",X14&lt;40,"F")</f>
        <v>B</v>
      </c>
      <c r="Y15" s="50" t="str" cm="1">
        <f t="array" ref="Y15">_xlfn.IFS(Y14&gt;= 70,"A",Y14&gt;=60,"B",Y14&gt;=50,"C",Y14&gt;=45,"D",Y14&gt;=40,"E",Y14&lt;40,"F")</f>
        <v>B</v>
      </c>
      <c r="Z15" s="50" t="str" cm="1">
        <f t="array" ref="Z15">_xlfn.IFS(Z14&gt;= 70,"A",Z14&gt;=60,"B",Z14&gt;=50,"C",Z14&gt;=45,"D",Z14&gt;=40,"E",Z14&lt;40,"F")</f>
        <v>B</v>
      </c>
      <c r="AA15" s="50" t="str" cm="1">
        <f t="array" ref="AA15">_xlfn.IFS(AA14&gt;= 70,"A",AA14&gt;=60,"B",AA14&gt;=50,"C",AA14&gt;=45,"D",AA14&gt;=40,"E",AA14&lt;40,"F")</f>
        <v>B</v>
      </c>
      <c r="AB15" s="50" t="str" cm="1">
        <f t="array" ref="AB15">_xlfn.IFS(AB14&gt;= 70,"A",AB14&gt;=60,"B",AB14&gt;=50,"C",AB14&gt;=45,"D",AB14&gt;=40,"E",AB14&lt;40,"F")</f>
        <v>B</v>
      </c>
      <c r="AC15" s="50" t="str" cm="1">
        <f t="array" ref="AC15">_xlfn.IFS(AC14&gt;= 70,"A",AC14&gt;=60,"B",AC14&gt;=50,"C",AC14&gt;=45,"D",AC14&gt;=40,"E",AC14&lt;40,"F")</f>
        <v>B</v>
      </c>
      <c r="AD15" s="50" t="str" cm="1">
        <f t="array" ref="AD15">_xlfn.IFS(AD14&gt;= 70,"A",AD14&gt;=60,"B",AD14&gt;=50,"C",AD14&gt;=45,"D",AD14&gt;=40,"E",AD14&lt;40,"F")</f>
        <v>B</v>
      </c>
      <c r="AE15" s="50" t="str" cm="1">
        <f t="array" ref="AE15">_xlfn.IFS(AE14&gt;= 70,"A",AE14&gt;=60,"B",AE14&gt;=50,"C",AE14&gt;=45,"D",AE14&gt;=40,"E",AE14&lt;40,"F")</f>
        <v>B</v>
      </c>
      <c r="AF15" s="50" t="str" cm="1">
        <f t="array" ref="AF15">_xlfn.IFS(AF14&gt;= 70,"A",AF14&gt;=60,"B",AF14&gt;=50,"C",AF14&gt;=45,"D",AF14&gt;=40,"E",AF14&lt;40,"F")</f>
        <v>B</v>
      </c>
      <c r="AG15" s="7">
        <v>5</v>
      </c>
      <c r="AH15" s="48" t="str" cm="1">
        <f t="array" ref="AH15">_xlfn.IFS(AG15&gt;= 70,"A",AG15&gt;=60,"B",AG15&gt;=50,"C",AG15&gt;=45,"D",AG15&gt;=40,"E",AG15&lt;40,"F")</f>
        <v>F</v>
      </c>
      <c r="AI15" s="7">
        <v>5</v>
      </c>
      <c r="AJ15" s="48" t="str" cm="1">
        <f t="array" ref="AJ15">_xlfn.IFS(AI15&gt;= 70,"A",AI15&gt;=60,"B",AI15&gt;=50,"C",AI15&gt;=45,"D",AI15&gt;=40,"E",AI15&lt;40,"F")</f>
        <v>F</v>
      </c>
      <c r="AK15" s="7">
        <v>5</v>
      </c>
      <c r="AL15" s="48" t="str" cm="1">
        <f t="array" ref="AL15">_xlfn.IFS(AK15&gt;= 70,"A",AK15&gt;=60,"B",AK15&gt;=50,"C",AK15&gt;=45,"D",AK15&gt;=40,"E",AK15&lt;40,"F")</f>
        <v>F</v>
      </c>
      <c r="AM15" s="56">
        <f t="shared" ref="AM15" si="13">SUMIFS($I$4:$W$4,I14:W14,"&gt;0")</f>
        <v>23</v>
      </c>
      <c r="AN15" s="47">
        <f t="shared" ref="AN15" si="14">(SUMIFS($I$4:$W$4,I14:W14,"&gt;0")-SUMIFS($I$4:$W$4,I15:W15,"F"))</f>
        <v>23</v>
      </c>
      <c r="AO15" s="56">
        <f t="shared" ref="AO15" si="15">SUMIFS($I$4:$W$4,I15:W15,"F")</f>
        <v>0</v>
      </c>
      <c r="AP15" s="76"/>
      <c r="AQ15" s="74"/>
      <c r="AR15" s="71"/>
    </row>
    <row r="16" spans="1:51" ht="30" customHeight="1" thickTop="1" x14ac:dyDescent="0.3">
      <c r="A16" s="97">
        <v>6</v>
      </c>
      <c r="B16" s="85"/>
      <c r="C16" s="121"/>
      <c r="D16" s="122"/>
      <c r="E16" s="122"/>
      <c r="F16" s="122"/>
      <c r="G16" s="122"/>
      <c r="H16" s="122"/>
      <c r="I16" s="49">
        <v>45</v>
      </c>
      <c r="J16" s="49">
        <v>46</v>
      </c>
      <c r="K16" s="49">
        <v>47</v>
      </c>
      <c r="L16" s="49">
        <v>48</v>
      </c>
      <c r="M16" s="49">
        <v>49</v>
      </c>
      <c r="N16" s="49">
        <v>50</v>
      </c>
      <c r="O16" s="49">
        <v>51</v>
      </c>
      <c r="P16" s="49">
        <v>52</v>
      </c>
      <c r="Q16" s="49">
        <v>53</v>
      </c>
      <c r="R16" s="49">
        <v>54</v>
      </c>
      <c r="S16" s="49">
        <v>55</v>
      </c>
      <c r="T16" s="49">
        <v>56</v>
      </c>
      <c r="U16" s="49">
        <v>57</v>
      </c>
      <c r="V16" s="49">
        <v>58</v>
      </c>
      <c r="W16" s="49">
        <v>59</v>
      </c>
      <c r="X16" s="49">
        <v>60</v>
      </c>
      <c r="Y16" s="49">
        <v>61</v>
      </c>
      <c r="Z16" s="49">
        <v>62</v>
      </c>
      <c r="AA16" s="49">
        <v>63</v>
      </c>
      <c r="AB16" s="49">
        <v>64</v>
      </c>
      <c r="AC16" s="49">
        <v>65</v>
      </c>
      <c r="AD16" s="49">
        <v>66</v>
      </c>
      <c r="AE16" s="49">
        <v>67</v>
      </c>
      <c r="AF16" s="49">
        <v>68</v>
      </c>
      <c r="AG16" s="7">
        <v>98</v>
      </c>
      <c r="AH16" s="48" t="str" cm="1">
        <f t="array" ref="AH16">_xlfn.IFS(AG16&gt;= 70,"A",AG16&gt;=60,"B",AG16&gt;=50,"C",AG16&gt;=45,"D",AG16&gt;=40,"E",AG16&lt;40,"F")</f>
        <v>A</v>
      </c>
      <c r="AI16" s="7">
        <v>76</v>
      </c>
      <c r="AJ16" s="48" t="str" cm="1">
        <f t="array" ref="AJ16">_xlfn.IFS(AI16&gt;= 70,"A",AI16&gt;=60,"B",AI16&gt;=50,"C",AI16&gt;=45,"D",AI16&gt;=40,"E",AI16&lt;40,"F")</f>
        <v>A</v>
      </c>
      <c r="AK16" s="7">
        <v>76</v>
      </c>
      <c r="AL16" s="48" t="str" cm="1">
        <f t="array" ref="AL16">_xlfn.IFS(AK16&gt;= 70,"A",AK16&gt;=60,"B",AK16&gt;=50,"C",AK16&gt;=45,"D",AK16&gt;=40,"E",AK16&lt;40,"F")</f>
        <v>A</v>
      </c>
      <c r="AM16" s="59"/>
      <c r="AN16" s="46"/>
      <c r="AO16" s="59"/>
      <c r="AP16" s="75" cm="1">
        <f t="array" ref="AP16">SUM(VLOOKUP(I17:W17,GRADEPOINT!$A$2:$B$7,2,0)*$I$4:$W$4)</f>
        <v>61</v>
      </c>
      <c r="AQ16" s="73">
        <f t="shared" ref="AQ16" si="16">ROUND(AP16/AM17,2)</f>
        <v>2.65</v>
      </c>
      <c r="AR16" s="72"/>
    </row>
    <row r="17" spans="1:44" ht="30" customHeight="1" thickBot="1" x14ac:dyDescent="0.35">
      <c r="A17" s="69"/>
      <c r="B17" s="108"/>
      <c r="C17" s="123"/>
      <c r="D17" s="124"/>
      <c r="E17" s="124"/>
      <c r="F17" s="124"/>
      <c r="G17" s="124"/>
      <c r="H17" s="124"/>
      <c r="I17" s="50" t="str" cm="1">
        <f t="array" ref="I17">_xlfn.IFS(I16&gt;= 70,"A",I16&gt;=60,"B",I16&gt;=50,"C",I16&gt;=45,"D",I16&gt;=40,"E",I16&lt;40,"F")</f>
        <v>D</v>
      </c>
      <c r="J17" s="50" t="str" cm="1">
        <f t="array" ref="J17">_xlfn.IFS(J16&gt;= 70,"A",J16&gt;=60,"B",J16&gt;=50,"C",J16&gt;=45,"D",J16&gt;=40,"E",J16&lt;40,"F")</f>
        <v>D</v>
      </c>
      <c r="K17" s="50" t="str" cm="1">
        <f t="array" ref="K17">_xlfn.IFS(K16&gt;= 70,"A",K16&gt;=60,"B",K16&gt;=50,"C",K16&gt;=45,"D",K16&gt;=40,"E",K16&lt;40,"F")</f>
        <v>D</v>
      </c>
      <c r="L17" s="50" t="str" cm="1">
        <f t="array" ref="L17">_xlfn.IFS(L16&gt;= 70,"A",L16&gt;=60,"B",L16&gt;=50,"C",L16&gt;=45,"D",L16&gt;=40,"E",L16&lt;40,"F")</f>
        <v>D</v>
      </c>
      <c r="M17" s="50" t="str" cm="1">
        <f t="array" ref="M17">_xlfn.IFS(M16&gt;= 70,"A",M16&gt;=60,"B",M16&gt;=50,"C",M16&gt;=45,"D",M16&gt;=40,"E",M16&lt;40,"F")</f>
        <v>D</v>
      </c>
      <c r="N17" s="50" t="str" cm="1">
        <f t="array" ref="N17">_xlfn.IFS(N16&gt;= 70,"A",N16&gt;=60,"B",N16&gt;=50,"C",N16&gt;=45,"D",N16&gt;=40,"E",N16&lt;40,"F")</f>
        <v>C</v>
      </c>
      <c r="O17" s="50" t="str" cm="1">
        <f t="array" ref="O17">_xlfn.IFS(O16&gt;= 70,"A",O16&gt;=60,"B",O16&gt;=50,"C",O16&gt;=45,"D",O16&gt;=40,"E",O16&lt;40,"F")</f>
        <v>C</v>
      </c>
      <c r="P17" s="50" t="str" cm="1">
        <f t="array" ref="P17">_xlfn.IFS(P16&gt;= 70,"A",P16&gt;=60,"B",P16&gt;=50,"C",P16&gt;=45,"D",P16&gt;=40,"E",P16&lt;40,"F")</f>
        <v>C</v>
      </c>
      <c r="Q17" s="50" t="str" cm="1">
        <f t="array" ref="Q17">_xlfn.IFS(Q16&gt;= 70,"A",Q16&gt;=60,"B",Q16&gt;=50,"C",Q16&gt;=45,"D",Q16&gt;=40,"E",Q16&lt;40,"F")</f>
        <v>C</v>
      </c>
      <c r="R17" s="50" t="str" cm="1">
        <f t="array" ref="R17">_xlfn.IFS(R16&gt;= 70,"A",R16&gt;=60,"B",R16&gt;=50,"C",R16&gt;=45,"D",R16&gt;=40,"E",R16&lt;40,"F")</f>
        <v>C</v>
      </c>
      <c r="S17" s="50" t="str" cm="1">
        <f t="array" ref="S17">_xlfn.IFS(S16&gt;= 70,"A",S16&gt;=60,"B",S16&gt;=50,"C",S16&gt;=45,"D",S16&gt;=40,"E",S16&lt;40,"F")</f>
        <v>C</v>
      </c>
      <c r="T17" s="50" t="str" cm="1">
        <f t="array" ref="T17">_xlfn.IFS(T16&gt;= 70,"A",T16&gt;=60,"B",T16&gt;=50,"C",T16&gt;=45,"D",T16&gt;=40,"E",T16&lt;40,"F")</f>
        <v>C</v>
      </c>
      <c r="U17" s="50" t="str" cm="1">
        <f t="array" ref="U17">_xlfn.IFS(U16&gt;= 70,"A",U16&gt;=60,"B",U16&gt;=50,"C",U16&gt;=45,"D",U16&gt;=40,"E",U16&lt;40,"F")</f>
        <v>C</v>
      </c>
      <c r="V17" s="50" t="str" cm="1">
        <f t="array" ref="V17">_xlfn.IFS(V16&gt;= 70,"A",V16&gt;=60,"B",V16&gt;=50,"C",V16&gt;=45,"D",V16&gt;=40,"E",V16&lt;40,"F")</f>
        <v>C</v>
      </c>
      <c r="W17" s="50" t="str" cm="1">
        <f t="array" ref="W17">_xlfn.IFS(W16&gt;= 70,"A",W16&gt;=60,"B",W16&gt;=50,"C",W16&gt;=45,"D",W16&gt;=40,"E",W16&lt;40,"F")</f>
        <v>C</v>
      </c>
      <c r="X17" s="50" t="str" cm="1">
        <f t="array" ref="X17">_xlfn.IFS(X16&gt;= 70,"A",X16&gt;=60,"B",X16&gt;=50,"C",X16&gt;=45,"D",X16&gt;=40,"E",X16&lt;40,"F")</f>
        <v>B</v>
      </c>
      <c r="Y17" s="50" t="str" cm="1">
        <f t="array" ref="Y17">_xlfn.IFS(Y16&gt;= 70,"A",Y16&gt;=60,"B",Y16&gt;=50,"C",Y16&gt;=45,"D",Y16&gt;=40,"E",Y16&lt;40,"F")</f>
        <v>B</v>
      </c>
      <c r="Z17" s="50" t="str" cm="1">
        <f t="array" ref="Z17">_xlfn.IFS(Z16&gt;= 70,"A",Z16&gt;=60,"B",Z16&gt;=50,"C",Z16&gt;=45,"D",Z16&gt;=40,"E",Z16&lt;40,"F")</f>
        <v>B</v>
      </c>
      <c r="AA17" s="50" t="str" cm="1">
        <f t="array" ref="AA17">_xlfn.IFS(AA16&gt;= 70,"A",AA16&gt;=60,"B",AA16&gt;=50,"C",AA16&gt;=45,"D",AA16&gt;=40,"E",AA16&lt;40,"F")</f>
        <v>B</v>
      </c>
      <c r="AB17" s="50" t="str" cm="1">
        <f t="array" ref="AB17">_xlfn.IFS(AB16&gt;= 70,"A",AB16&gt;=60,"B",AB16&gt;=50,"C",AB16&gt;=45,"D",AB16&gt;=40,"E",AB16&lt;40,"F")</f>
        <v>B</v>
      </c>
      <c r="AC17" s="50" t="str" cm="1">
        <f t="array" ref="AC17">_xlfn.IFS(AC16&gt;= 70,"A",AC16&gt;=60,"B",AC16&gt;=50,"C",AC16&gt;=45,"D",AC16&gt;=40,"E",AC16&lt;40,"F")</f>
        <v>B</v>
      </c>
      <c r="AD17" s="50" t="str" cm="1">
        <f t="array" ref="AD17">_xlfn.IFS(AD16&gt;= 70,"A",AD16&gt;=60,"B",AD16&gt;=50,"C",AD16&gt;=45,"D",AD16&gt;=40,"E",AD16&lt;40,"F")</f>
        <v>B</v>
      </c>
      <c r="AE17" s="50" t="str" cm="1">
        <f t="array" ref="AE17">_xlfn.IFS(AE16&gt;= 70,"A",AE16&gt;=60,"B",AE16&gt;=50,"C",AE16&gt;=45,"D",AE16&gt;=40,"E",AE16&lt;40,"F")</f>
        <v>B</v>
      </c>
      <c r="AF17" s="50" t="str" cm="1">
        <f t="array" ref="AF17">_xlfn.IFS(AF16&gt;= 70,"A",AF16&gt;=60,"B",AF16&gt;=50,"C",AF16&gt;=45,"D",AF16&gt;=40,"E",AF16&lt;40,"F")</f>
        <v>B</v>
      </c>
      <c r="AG17" s="7"/>
      <c r="AH17" s="48" t="str" cm="1">
        <f t="array" ref="AH17">_xlfn.IFS(AG17&gt;= 70,"A",AG17&gt;=60,"B",AG17&gt;=50,"C",AG17&gt;=45,"D",AG17&gt;=40,"E",AG17&lt;40,"F")</f>
        <v>F</v>
      </c>
      <c r="AI17" s="7"/>
      <c r="AJ17" s="48" t="str" cm="1">
        <f t="array" ref="AJ17">_xlfn.IFS(AI17&gt;= 70,"A",AI17&gt;=60,"B",AI17&gt;=50,"C",AI17&gt;=45,"D",AI17&gt;=40,"E",AI17&lt;40,"F")</f>
        <v>F</v>
      </c>
      <c r="AK17" s="7"/>
      <c r="AL17" s="48" t="str" cm="1">
        <f t="array" ref="AL17">_xlfn.IFS(AK17&gt;= 70,"A",AK17&gt;=60,"B",AK17&gt;=50,"C",AK17&gt;=45,"D",AK17&gt;=40,"E",AK17&lt;40,"F")</f>
        <v>F</v>
      </c>
      <c r="AM17" s="56">
        <f t="shared" ref="AM17" si="17">SUMIFS($I$4:$W$4,I16:W16,"&gt;0")</f>
        <v>23</v>
      </c>
      <c r="AN17" s="47">
        <f t="shared" ref="AN17" si="18">(SUMIFS($I$4:$W$4,I16:W16,"&gt;0")-SUMIFS($I$4:$W$4,I17:W17,"F"))</f>
        <v>23</v>
      </c>
      <c r="AO17" s="56">
        <f t="shared" ref="AO17" si="19">SUMIFS($I$4:$W$4,I17:W17,"F")</f>
        <v>0</v>
      </c>
      <c r="AP17" s="76"/>
      <c r="AQ17" s="74"/>
      <c r="AR17" s="71"/>
    </row>
    <row r="18" spans="1:44" ht="30" customHeight="1" thickTop="1" x14ac:dyDescent="0.3">
      <c r="A18" s="97">
        <v>7</v>
      </c>
      <c r="B18" s="72"/>
      <c r="C18" s="121"/>
      <c r="D18" s="122"/>
      <c r="E18" s="122"/>
      <c r="F18" s="122"/>
      <c r="G18" s="122"/>
      <c r="H18" s="122"/>
      <c r="I18" s="49">
        <v>45</v>
      </c>
      <c r="J18" s="49">
        <v>46</v>
      </c>
      <c r="K18" s="49">
        <v>47</v>
      </c>
      <c r="L18" s="49">
        <v>48</v>
      </c>
      <c r="M18" s="49">
        <v>49</v>
      </c>
      <c r="N18" s="49">
        <v>50</v>
      </c>
      <c r="O18" s="49">
        <v>51</v>
      </c>
      <c r="P18" s="49">
        <v>52</v>
      </c>
      <c r="Q18" s="49">
        <v>53</v>
      </c>
      <c r="R18" s="49">
        <v>54</v>
      </c>
      <c r="S18" s="49">
        <v>55</v>
      </c>
      <c r="T18" s="49">
        <v>56</v>
      </c>
      <c r="U18" s="49">
        <v>57</v>
      </c>
      <c r="V18" s="49">
        <v>58</v>
      </c>
      <c r="W18" s="49">
        <v>59</v>
      </c>
      <c r="X18" s="49">
        <v>60</v>
      </c>
      <c r="Y18" s="49">
        <v>61</v>
      </c>
      <c r="Z18" s="49">
        <v>62</v>
      </c>
      <c r="AA18" s="49">
        <v>63</v>
      </c>
      <c r="AB18" s="49">
        <v>64</v>
      </c>
      <c r="AC18" s="49">
        <v>65</v>
      </c>
      <c r="AD18" s="49">
        <v>66</v>
      </c>
      <c r="AE18" s="49">
        <v>67</v>
      </c>
      <c r="AF18" s="49">
        <v>68</v>
      </c>
      <c r="AG18" s="7"/>
      <c r="AH18" s="48" t="str" cm="1">
        <f t="array" ref="AH18">_xlfn.IFS(AG18&gt;= 70,"A",AG18&gt;=60,"B",AG18&gt;=50,"C",AG18&gt;=45,"D",AG18&gt;=40,"E",AG18&lt;40,"F")</f>
        <v>F</v>
      </c>
      <c r="AI18" s="7"/>
      <c r="AJ18" s="48" t="str" cm="1">
        <f t="array" ref="AJ18">_xlfn.IFS(AI18&gt;= 70,"A",AI18&gt;=60,"B",AI18&gt;=50,"C",AI18&gt;=45,"D",AI18&gt;=40,"E",AI18&lt;40,"F")</f>
        <v>F</v>
      </c>
      <c r="AK18" s="7"/>
      <c r="AL18" s="48" t="str" cm="1">
        <f t="array" ref="AL18">_xlfn.IFS(AK18&gt;= 70,"A",AK18&gt;=60,"B",AK18&gt;=50,"C",AK18&gt;=45,"D",AK18&gt;=40,"E",AK18&lt;40,"F")</f>
        <v>F</v>
      </c>
      <c r="AM18" s="59"/>
      <c r="AN18" s="46"/>
      <c r="AO18" s="59"/>
      <c r="AP18" s="75" cm="1">
        <f t="array" ref="AP18">SUM(VLOOKUP(I19:W19,GRADEPOINT!$A$2:$B$7,2,0)*$I$4:$W$4)</f>
        <v>61</v>
      </c>
      <c r="AQ18" s="73">
        <f t="shared" ref="AQ18" si="20">ROUND(AP18/AM19,2)</f>
        <v>2.65</v>
      </c>
      <c r="AR18" s="72"/>
    </row>
    <row r="19" spans="1:44" ht="30" customHeight="1" thickBot="1" x14ac:dyDescent="0.35">
      <c r="A19" s="69"/>
      <c r="B19" s="107"/>
      <c r="C19" s="123"/>
      <c r="D19" s="124"/>
      <c r="E19" s="124"/>
      <c r="F19" s="124"/>
      <c r="G19" s="124"/>
      <c r="H19" s="124"/>
      <c r="I19" s="50" t="str" cm="1">
        <f t="array" ref="I19">_xlfn.IFS(I18&gt;= 70,"A",I18&gt;=60,"B",I18&gt;=50,"C",I18&gt;=45,"D",I18&gt;=40,"E",I18&lt;40,"F")</f>
        <v>D</v>
      </c>
      <c r="J19" s="50" t="str" cm="1">
        <f t="array" ref="J19">_xlfn.IFS(J18&gt;= 70,"A",J18&gt;=60,"B",J18&gt;=50,"C",J18&gt;=45,"D",J18&gt;=40,"E",J18&lt;40,"F")</f>
        <v>D</v>
      </c>
      <c r="K19" s="50" t="str" cm="1">
        <f t="array" ref="K19">_xlfn.IFS(K18&gt;= 70,"A",K18&gt;=60,"B",K18&gt;=50,"C",K18&gt;=45,"D",K18&gt;=40,"E",K18&lt;40,"F")</f>
        <v>D</v>
      </c>
      <c r="L19" s="50" t="str" cm="1">
        <f t="array" ref="L19">_xlfn.IFS(L18&gt;= 70,"A",L18&gt;=60,"B",L18&gt;=50,"C",L18&gt;=45,"D",L18&gt;=40,"E",L18&lt;40,"F")</f>
        <v>D</v>
      </c>
      <c r="M19" s="50" t="str" cm="1">
        <f t="array" ref="M19">_xlfn.IFS(M18&gt;= 70,"A",M18&gt;=60,"B",M18&gt;=50,"C",M18&gt;=45,"D",M18&gt;=40,"E",M18&lt;40,"F")</f>
        <v>D</v>
      </c>
      <c r="N19" s="50" t="str" cm="1">
        <f t="array" ref="N19">_xlfn.IFS(N18&gt;= 70,"A",N18&gt;=60,"B",N18&gt;=50,"C",N18&gt;=45,"D",N18&gt;=40,"E",N18&lt;40,"F")</f>
        <v>C</v>
      </c>
      <c r="O19" s="50" t="str" cm="1">
        <f t="array" ref="O19">_xlfn.IFS(O18&gt;= 70,"A",O18&gt;=60,"B",O18&gt;=50,"C",O18&gt;=45,"D",O18&gt;=40,"E",O18&lt;40,"F")</f>
        <v>C</v>
      </c>
      <c r="P19" s="50" t="str" cm="1">
        <f t="array" ref="P19">_xlfn.IFS(P18&gt;= 70,"A",P18&gt;=60,"B",P18&gt;=50,"C",P18&gt;=45,"D",P18&gt;=40,"E",P18&lt;40,"F")</f>
        <v>C</v>
      </c>
      <c r="Q19" s="50" t="str" cm="1">
        <f t="array" ref="Q19">_xlfn.IFS(Q18&gt;= 70,"A",Q18&gt;=60,"B",Q18&gt;=50,"C",Q18&gt;=45,"D",Q18&gt;=40,"E",Q18&lt;40,"F")</f>
        <v>C</v>
      </c>
      <c r="R19" s="50" t="str" cm="1">
        <f t="array" ref="R19">_xlfn.IFS(R18&gt;= 70,"A",R18&gt;=60,"B",R18&gt;=50,"C",R18&gt;=45,"D",R18&gt;=40,"E",R18&lt;40,"F")</f>
        <v>C</v>
      </c>
      <c r="S19" s="50" t="str" cm="1">
        <f t="array" ref="S19">_xlfn.IFS(S18&gt;= 70,"A",S18&gt;=60,"B",S18&gt;=50,"C",S18&gt;=45,"D",S18&gt;=40,"E",S18&lt;40,"F")</f>
        <v>C</v>
      </c>
      <c r="T19" s="50" t="str" cm="1">
        <f t="array" ref="T19">_xlfn.IFS(T18&gt;= 70,"A",T18&gt;=60,"B",T18&gt;=50,"C",T18&gt;=45,"D",T18&gt;=40,"E",T18&lt;40,"F")</f>
        <v>C</v>
      </c>
      <c r="U19" s="50" t="str" cm="1">
        <f t="array" ref="U19">_xlfn.IFS(U18&gt;= 70,"A",U18&gt;=60,"B",U18&gt;=50,"C",U18&gt;=45,"D",U18&gt;=40,"E",U18&lt;40,"F")</f>
        <v>C</v>
      </c>
      <c r="V19" s="50" t="str" cm="1">
        <f t="array" ref="V19">_xlfn.IFS(V18&gt;= 70,"A",V18&gt;=60,"B",V18&gt;=50,"C",V18&gt;=45,"D",V18&gt;=40,"E",V18&lt;40,"F")</f>
        <v>C</v>
      </c>
      <c r="W19" s="50" t="str" cm="1">
        <f t="array" ref="W19">_xlfn.IFS(W18&gt;= 70,"A",W18&gt;=60,"B",W18&gt;=50,"C",W18&gt;=45,"D",W18&gt;=40,"E",W18&lt;40,"F")</f>
        <v>C</v>
      </c>
      <c r="X19" s="50" t="str" cm="1">
        <f t="array" ref="X19">_xlfn.IFS(X18&gt;= 70,"A",X18&gt;=60,"B",X18&gt;=50,"C",X18&gt;=45,"D",X18&gt;=40,"E",X18&lt;40,"F")</f>
        <v>B</v>
      </c>
      <c r="Y19" s="50" t="str" cm="1">
        <f t="array" ref="Y19">_xlfn.IFS(Y18&gt;= 70,"A",Y18&gt;=60,"B",Y18&gt;=50,"C",Y18&gt;=45,"D",Y18&gt;=40,"E",Y18&lt;40,"F")</f>
        <v>B</v>
      </c>
      <c r="Z19" s="50" t="str" cm="1">
        <f t="array" ref="Z19">_xlfn.IFS(Z18&gt;= 70,"A",Z18&gt;=60,"B",Z18&gt;=50,"C",Z18&gt;=45,"D",Z18&gt;=40,"E",Z18&lt;40,"F")</f>
        <v>B</v>
      </c>
      <c r="AA19" s="50" t="str" cm="1">
        <f t="array" ref="AA19">_xlfn.IFS(AA18&gt;= 70,"A",AA18&gt;=60,"B",AA18&gt;=50,"C",AA18&gt;=45,"D",AA18&gt;=40,"E",AA18&lt;40,"F")</f>
        <v>B</v>
      </c>
      <c r="AB19" s="50" t="str" cm="1">
        <f t="array" ref="AB19">_xlfn.IFS(AB18&gt;= 70,"A",AB18&gt;=60,"B",AB18&gt;=50,"C",AB18&gt;=45,"D",AB18&gt;=40,"E",AB18&lt;40,"F")</f>
        <v>B</v>
      </c>
      <c r="AC19" s="50" t="str" cm="1">
        <f t="array" ref="AC19">_xlfn.IFS(AC18&gt;= 70,"A",AC18&gt;=60,"B",AC18&gt;=50,"C",AC18&gt;=45,"D",AC18&gt;=40,"E",AC18&lt;40,"F")</f>
        <v>B</v>
      </c>
      <c r="AD19" s="50" t="str" cm="1">
        <f t="array" ref="AD19">_xlfn.IFS(AD18&gt;= 70,"A",AD18&gt;=60,"B",AD18&gt;=50,"C",AD18&gt;=45,"D",AD18&gt;=40,"E",AD18&lt;40,"F")</f>
        <v>B</v>
      </c>
      <c r="AE19" s="50" t="str" cm="1">
        <f t="array" ref="AE19">_xlfn.IFS(AE18&gt;= 70,"A",AE18&gt;=60,"B",AE18&gt;=50,"C",AE18&gt;=45,"D",AE18&gt;=40,"E",AE18&lt;40,"F")</f>
        <v>B</v>
      </c>
      <c r="AF19" s="50" t="str" cm="1">
        <f t="array" ref="AF19">_xlfn.IFS(AF18&gt;= 70,"A",AF18&gt;=60,"B",AF18&gt;=50,"C",AF18&gt;=45,"D",AF18&gt;=40,"E",AF18&lt;40,"F")</f>
        <v>B</v>
      </c>
      <c r="AG19" s="7"/>
      <c r="AH19" s="48" t="str" cm="1">
        <f t="array" ref="AH19">_xlfn.IFS(AG19&gt;= 70,"A",AG19&gt;=60,"B",AG19&gt;=50,"C",AG19&gt;=45,"D",AG19&gt;=40,"E",AG19&lt;40,"F")</f>
        <v>F</v>
      </c>
      <c r="AI19" s="7"/>
      <c r="AJ19" s="48" t="str" cm="1">
        <f t="array" ref="AJ19">_xlfn.IFS(AI19&gt;= 70,"A",AI19&gt;=60,"B",AI19&gt;=50,"C",AI19&gt;=45,"D",AI19&gt;=40,"E",AI19&lt;40,"F")</f>
        <v>F</v>
      </c>
      <c r="AK19" s="7"/>
      <c r="AL19" s="48" t="str" cm="1">
        <f t="array" ref="AL19">_xlfn.IFS(AK19&gt;= 70,"A",AK19&gt;=60,"B",AK19&gt;=50,"C",AK19&gt;=45,"D",AK19&gt;=40,"E",AK19&lt;40,"F")</f>
        <v>F</v>
      </c>
      <c r="AM19" s="56">
        <f t="shared" ref="AM19" si="21">SUMIFS($I$4:$W$4,I18:W18,"&gt;0")</f>
        <v>23</v>
      </c>
      <c r="AN19" s="47">
        <f t="shared" ref="AN19" si="22">(SUMIFS($I$4:$W$4,I18:W18,"&gt;0")-SUMIFS($I$4:$W$4,I19:W19,"F"))</f>
        <v>23</v>
      </c>
      <c r="AO19" s="56">
        <f t="shared" ref="AO19" si="23">SUMIFS($I$4:$W$4,I19:W19,"F")</f>
        <v>0</v>
      </c>
      <c r="AP19" s="76"/>
      <c r="AQ19" s="74"/>
      <c r="AR19" s="71"/>
    </row>
    <row r="20" spans="1:44" ht="30" customHeight="1" thickTop="1" x14ac:dyDescent="0.3">
      <c r="A20" s="102">
        <v>8</v>
      </c>
      <c r="B20" s="72"/>
      <c r="C20" s="121"/>
      <c r="D20" s="122"/>
      <c r="E20" s="122"/>
      <c r="F20" s="122"/>
      <c r="G20" s="122"/>
      <c r="H20" s="122"/>
      <c r="I20" s="49">
        <v>45</v>
      </c>
      <c r="J20" s="49">
        <v>46</v>
      </c>
      <c r="K20" s="49">
        <v>47</v>
      </c>
      <c r="L20" s="49">
        <v>48</v>
      </c>
      <c r="M20" s="49">
        <v>49</v>
      </c>
      <c r="N20" s="49">
        <v>50</v>
      </c>
      <c r="O20" s="49">
        <v>51</v>
      </c>
      <c r="P20" s="49">
        <v>52</v>
      </c>
      <c r="Q20" s="49">
        <v>53</v>
      </c>
      <c r="R20" s="49">
        <v>54</v>
      </c>
      <c r="S20" s="49">
        <v>55</v>
      </c>
      <c r="T20" s="49">
        <v>56</v>
      </c>
      <c r="U20" s="49">
        <v>57</v>
      </c>
      <c r="V20" s="49">
        <v>58</v>
      </c>
      <c r="W20" s="49">
        <v>59</v>
      </c>
      <c r="X20" s="49">
        <v>60</v>
      </c>
      <c r="Y20" s="49">
        <v>61</v>
      </c>
      <c r="Z20" s="49">
        <v>62</v>
      </c>
      <c r="AA20" s="49">
        <v>63</v>
      </c>
      <c r="AB20" s="49">
        <v>64</v>
      </c>
      <c r="AC20" s="49">
        <v>65</v>
      </c>
      <c r="AD20" s="49">
        <v>66</v>
      </c>
      <c r="AE20" s="49">
        <v>67</v>
      </c>
      <c r="AF20" s="49">
        <v>68</v>
      </c>
      <c r="AG20" s="7"/>
      <c r="AH20" s="48" t="str" cm="1">
        <f t="array" ref="AH20">_xlfn.IFS(AG20&gt;= 70,"A",AG20&gt;=60,"B",AG20&gt;=50,"C",AG20&gt;=45,"D",AG20&gt;=40,"E",AG20&lt;40,"F")</f>
        <v>F</v>
      </c>
      <c r="AI20" s="7"/>
      <c r="AJ20" s="48" t="str" cm="1">
        <f t="array" ref="AJ20">_xlfn.IFS(AI20&gt;= 70,"A",AI20&gt;=60,"B",AI20&gt;=50,"C",AI20&gt;=45,"D",AI20&gt;=40,"E",AI20&lt;40,"F")</f>
        <v>F</v>
      </c>
      <c r="AK20" s="7"/>
      <c r="AL20" s="48" t="str" cm="1">
        <f t="array" ref="AL20">_xlfn.IFS(AK20&gt;= 70,"A",AK20&gt;=60,"B",AK20&gt;=50,"C",AK20&gt;=45,"D",AK20&gt;=40,"E",AK20&lt;40,"F")</f>
        <v>F</v>
      </c>
      <c r="AM20" s="59"/>
      <c r="AN20" s="46"/>
      <c r="AO20" s="59"/>
      <c r="AP20" s="75" cm="1">
        <f t="array" ref="AP20">SUM(VLOOKUP(I21:W21,GRADEPOINT!$A$2:$B$7,2,0)*$I$4:$W$4)</f>
        <v>61</v>
      </c>
      <c r="AQ20" s="73">
        <f t="shared" ref="AQ20" si="24">ROUND(AP20/AM21,2)</f>
        <v>2.65</v>
      </c>
      <c r="AR20" s="72"/>
    </row>
    <row r="21" spans="1:44" ht="30" customHeight="1" thickBot="1" x14ac:dyDescent="0.35">
      <c r="A21" s="102"/>
      <c r="B21" s="107"/>
      <c r="C21" s="123"/>
      <c r="D21" s="124"/>
      <c r="E21" s="124"/>
      <c r="F21" s="124"/>
      <c r="G21" s="124"/>
      <c r="H21" s="124"/>
      <c r="I21" s="50" t="str" cm="1">
        <f t="array" ref="I21">_xlfn.IFS(I20&gt;= 70,"A",I20&gt;=60,"B",I20&gt;=50,"C",I20&gt;=45,"D",I20&gt;=40,"E",I20&lt;40,"F")</f>
        <v>D</v>
      </c>
      <c r="J21" s="50" t="str" cm="1">
        <f t="array" ref="J21">_xlfn.IFS(J20&gt;= 70,"A",J20&gt;=60,"B",J20&gt;=50,"C",J20&gt;=45,"D",J20&gt;=40,"E",J20&lt;40,"F")</f>
        <v>D</v>
      </c>
      <c r="K21" s="50" t="str" cm="1">
        <f t="array" ref="K21">_xlfn.IFS(K20&gt;= 70,"A",K20&gt;=60,"B",K20&gt;=50,"C",K20&gt;=45,"D",K20&gt;=40,"E",K20&lt;40,"F")</f>
        <v>D</v>
      </c>
      <c r="L21" s="50" t="str" cm="1">
        <f t="array" ref="L21">_xlfn.IFS(L20&gt;= 70,"A",L20&gt;=60,"B",L20&gt;=50,"C",L20&gt;=45,"D",L20&gt;=40,"E",L20&lt;40,"F")</f>
        <v>D</v>
      </c>
      <c r="M21" s="50" t="str" cm="1">
        <f t="array" ref="M21">_xlfn.IFS(M20&gt;= 70,"A",M20&gt;=60,"B",M20&gt;=50,"C",M20&gt;=45,"D",M20&gt;=40,"E",M20&lt;40,"F")</f>
        <v>D</v>
      </c>
      <c r="N21" s="50" t="str" cm="1">
        <f t="array" ref="N21">_xlfn.IFS(N20&gt;= 70,"A",N20&gt;=60,"B",N20&gt;=50,"C",N20&gt;=45,"D",N20&gt;=40,"E",N20&lt;40,"F")</f>
        <v>C</v>
      </c>
      <c r="O21" s="50" t="str" cm="1">
        <f t="array" ref="O21">_xlfn.IFS(O20&gt;= 70,"A",O20&gt;=60,"B",O20&gt;=50,"C",O20&gt;=45,"D",O20&gt;=40,"E",O20&lt;40,"F")</f>
        <v>C</v>
      </c>
      <c r="P21" s="50" t="str" cm="1">
        <f t="array" ref="P21">_xlfn.IFS(P20&gt;= 70,"A",P20&gt;=60,"B",P20&gt;=50,"C",P20&gt;=45,"D",P20&gt;=40,"E",P20&lt;40,"F")</f>
        <v>C</v>
      </c>
      <c r="Q21" s="50" t="str" cm="1">
        <f t="array" ref="Q21">_xlfn.IFS(Q20&gt;= 70,"A",Q20&gt;=60,"B",Q20&gt;=50,"C",Q20&gt;=45,"D",Q20&gt;=40,"E",Q20&lt;40,"F")</f>
        <v>C</v>
      </c>
      <c r="R21" s="50" t="str" cm="1">
        <f t="array" ref="R21">_xlfn.IFS(R20&gt;= 70,"A",R20&gt;=60,"B",R20&gt;=50,"C",R20&gt;=45,"D",R20&gt;=40,"E",R20&lt;40,"F")</f>
        <v>C</v>
      </c>
      <c r="S21" s="50" t="str" cm="1">
        <f t="array" ref="S21">_xlfn.IFS(S20&gt;= 70,"A",S20&gt;=60,"B",S20&gt;=50,"C",S20&gt;=45,"D",S20&gt;=40,"E",S20&lt;40,"F")</f>
        <v>C</v>
      </c>
      <c r="T21" s="50" t="str" cm="1">
        <f t="array" ref="T21">_xlfn.IFS(T20&gt;= 70,"A",T20&gt;=60,"B",T20&gt;=50,"C",T20&gt;=45,"D",T20&gt;=40,"E",T20&lt;40,"F")</f>
        <v>C</v>
      </c>
      <c r="U21" s="50" t="str" cm="1">
        <f t="array" ref="U21">_xlfn.IFS(U20&gt;= 70,"A",U20&gt;=60,"B",U20&gt;=50,"C",U20&gt;=45,"D",U20&gt;=40,"E",U20&lt;40,"F")</f>
        <v>C</v>
      </c>
      <c r="V21" s="50" t="str" cm="1">
        <f t="array" ref="V21">_xlfn.IFS(V20&gt;= 70,"A",V20&gt;=60,"B",V20&gt;=50,"C",V20&gt;=45,"D",V20&gt;=40,"E",V20&lt;40,"F")</f>
        <v>C</v>
      </c>
      <c r="W21" s="50" t="str" cm="1">
        <f t="array" ref="W21">_xlfn.IFS(W20&gt;= 70,"A",W20&gt;=60,"B",W20&gt;=50,"C",W20&gt;=45,"D",W20&gt;=40,"E",W20&lt;40,"F")</f>
        <v>C</v>
      </c>
      <c r="X21" s="50" t="str" cm="1">
        <f t="array" ref="X21">_xlfn.IFS(X20&gt;= 70,"A",X20&gt;=60,"B",X20&gt;=50,"C",X20&gt;=45,"D",X20&gt;=40,"E",X20&lt;40,"F")</f>
        <v>B</v>
      </c>
      <c r="Y21" s="50" t="str" cm="1">
        <f t="array" ref="Y21">_xlfn.IFS(Y20&gt;= 70,"A",Y20&gt;=60,"B",Y20&gt;=50,"C",Y20&gt;=45,"D",Y20&gt;=40,"E",Y20&lt;40,"F")</f>
        <v>B</v>
      </c>
      <c r="Z21" s="50" t="str" cm="1">
        <f t="array" ref="Z21">_xlfn.IFS(Z20&gt;= 70,"A",Z20&gt;=60,"B",Z20&gt;=50,"C",Z20&gt;=45,"D",Z20&gt;=40,"E",Z20&lt;40,"F")</f>
        <v>B</v>
      </c>
      <c r="AA21" s="50" t="str" cm="1">
        <f t="array" ref="AA21">_xlfn.IFS(AA20&gt;= 70,"A",AA20&gt;=60,"B",AA20&gt;=50,"C",AA20&gt;=45,"D",AA20&gt;=40,"E",AA20&lt;40,"F")</f>
        <v>B</v>
      </c>
      <c r="AB21" s="50" t="str" cm="1">
        <f t="array" ref="AB21">_xlfn.IFS(AB20&gt;= 70,"A",AB20&gt;=60,"B",AB20&gt;=50,"C",AB20&gt;=45,"D",AB20&gt;=40,"E",AB20&lt;40,"F")</f>
        <v>B</v>
      </c>
      <c r="AC21" s="50" t="str" cm="1">
        <f t="array" ref="AC21">_xlfn.IFS(AC20&gt;= 70,"A",AC20&gt;=60,"B",AC20&gt;=50,"C",AC20&gt;=45,"D",AC20&gt;=40,"E",AC20&lt;40,"F")</f>
        <v>B</v>
      </c>
      <c r="AD21" s="50" t="str" cm="1">
        <f t="array" ref="AD21">_xlfn.IFS(AD20&gt;= 70,"A",AD20&gt;=60,"B",AD20&gt;=50,"C",AD20&gt;=45,"D",AD20&gt;=40,"E",AD20&lt;40,"F")</f>
        <v>B</v>
      </c>
      <c r="AE21" s="50" t="str" cm="1">
        <f t="array" ref="AE21">_xlfn.IFS(AE20&gt;= 70,"A",AE20&gt;=60,"B",AE20&gt;=50,"C",AE20&gt;=45,"D",AE20&gt;=40,"E",AE20&lt;40,"F")</f>
        <v>B</v>
      </c>
      <c r="AF21" s="50" t="str" cm="1">
        <f t="array" ref="AF21">_xlfn.IFS(AF20&gt;= 70,"A",AF20&gt;=60,"B",AF20&gt;=50,"C",AF20&gt;=45,"D",AF20&gt;=40,"E",AF20&lt;40,"F")</f>
        <v>B</v>
      </c>
      <c r="AG21" s="7"/>
      <c r="AH21" s="48" t="str" cm="1">
        <f t="array" ref="AH21">_xlfn.IFS(AG21&gt;= 70,"A",AG21&gt;=60,"B",AG21&gt;=50,"C",AG21&gt;=45,"D",AG21&gt;=40,"E",AG21&lt;40,"F")</f>
        <v>F</v>
      </c>
      <c r="AI21" s="7"/>
      <c r="AJ21" s="48" t="str" cm="1">
        <f t="array" ref="AJ21">_xlfn.IFS(AI21&gt;= 70,"A",AI21&gt;=60,"B",AI21&gt;=50,"C",AI21&gt;=45,"D",AI21&gt;=40,"E",AI21&lt;40,"F")</f>
        <v>F</v>
      </c>
      <c r="AK21" s="7"/>
      <c r="AL21" s="48" t="str" cm="1">
        <f t="array" ref="AL21">_xlfn.IFS(AK21&gt;= 70,"A",AK21&gt;=60,"B",AK21&gt;=50,"C",AK21&gt;=45,"D",AK21&gt;=40,"E",AK21&lt;40,"F")</f>
        <v>F</v>
      </c>
      <c r="AM21" s="56">
        <f t="shared" ref="AM21" si="25">SUMIFS($I$4:$W$4,I20:W20,"&gt;0")</f>
        <v>23</v>
      </c>
      <c r="AN21" s="47">
        <f t="shared" ref="AN21" si="26">(SUMIFS($I$4:$W$4,I20:W20,"&gt;0")-SUMIFS($I$4:$W$4,I21:W21,"F"))</f>
        <v>23</v>
      </c>
      <c r="AO21" s="56">
        <f t="shared" ref="AO21" si="27">SUMIFS($I$4:$W$4,I21:W21,"F")</f>
        <v>0</v>
      </c>
      <c r="AP21" s="76"/>
      <c r="AQ21" s="74"/>
      <c r="AR21" s="71"/>
    </row>
    <row r="22" spans="1:44" ht="30" customHeight="1" thickTop="1" x14ac:dyDescent="0.3">
      <c r="A22" s="103">
        <v>9</v>
      </c>
      <c r="B22" s="72"/>
      <c r="C22" s="121"/>
      <c r="D22" s="122"/>
      <c r="E22" s="122"/>
      <c r="F22" s="122"/>
      <c r="G22" s="122"/>
      <c r="H22" s="122"/>
      <c r="I22" s="49">
        <v>45</v>
      </c>
      <c r="J22" s="49">
        <v>46</v>
      </c>
      <c r="K22" s="49">
        <v>47</v>
      </c>
      <c r="L22" s="49">
        <v>48</v>
      </c>
      <c r="M22" s="49">
        <v>49</v>
      </c>
      <c r="N22" s="49">
        <v>50</v>
      </c>
      <c r="O22" s="49">
        <v>51</v>
      </c>
      <c r="P22" s="49">
        <v>52</v>
      </c>
      <c r="Q22" s="49">
        <v>53</v>
      </c>
      <c r="R22" s="49">
        <v>54</v>
      </c>
      <c r="S22" s="49">
        <v>55</v>
      </c>
      <c r="T22" s="49">
        <v>56</v>
      </c>
      <c r="U22" s="49">
        <v>57</v>
      </c>
      <c r="V22" s="49">
        <v>58</v>
      </c>
      <c r="W22" s="49">
        <v>59</v>
      </c>
      <c r="X22" s="49">
        <v>60</v>
      </c>
      <c r="Y22" s="49">
        <v>61</v>
      </c>
      <c r="Z22" s="49">
        <v>62</v>
      </c>
      <c r="AA22" s="49">
        <v>63</v>
      </c>
      <c r="AB22" s="49">
        <v>64</v>
      </c>
      <c r="AC22" s="49">
        <v>65</v>
      </c>
      <c r="AD22" s="49">
        <v>66</v>
      </c>
      <c r="AE22" s="49">
        <v>67</v>
      </c>
      <c r="AF22" s="49">
        <v>68</v>
      </c>
      <c r="AG22" s="7"/>
      <c r="AH22" s="48" t="str" cm="1">
        <f t="array" ref="AH22">_xlfn.IFS(AG22&gt;= 70,"A",AG22&gt;=60,"B",AG22&gt;=50,"C",AG22&gt;=45,"D",AG22&gt;=40,"E",AG22&lt;40,"F")</f>
        <v>F</v>
      </c>
      <c r="AI22" s="7"/>
      <c r="AJ22" s="48" t="str" cm="1">
        <f t="array" ref="AJ22">_xlfn.IFS(AI22&gt;= 70,"A",AI22&gt;=60,"B",AI22&gt;=50,"C",AI22&gt;=45,"D",AI22&gt;=40,"E",AI22&lt;40,"F")</f>
        <v>F</v>
      </c>
      <c r="AK22" s="7"/>
      <c r="AL22" s="48" t="str" cm="1">
        <f t="array" ref="AL22">_xlfn.IFS(AK22&gt;= 70,"A",AK22&gt;=60,"B",AK22&gt;=50,"C",AK22&gt;=45,"D",AK22&gt;=40,"E",AK22&lt;40,"F")</f>
        <v>F</v>
      </c>
      <c r="AM22" s="59"/>
      <c r="AN22" s="46"/>
      <c r="AO22" s="59"/>
      <c r="AP22" s="75" cm="1">
        <f t="array" ref="AP22">SUM(VLOOKUP(I23:W23,GRADEPOINT!$A$2:$B$7,2,0)*$I$4:$W$4)</f>
        <v>61</v>
      </c>
      <c r="AQ22" s="73">
        <f t="shared" ref="AQ22" si="28">ROUND(AP22/AM23,2)</f>
        <v>2.65</v>
      </c>
      <c r="AR22" s="72"/>
    </row>
    <row r="23" spans="1:44" ht="30" customHeight="1" thickBot="1" x14ac:dyDescent="0.35">
      <c r="A23" s="102"/>
      <c r="B23" s="107"/>
      <c r="C23" s="123"/>
      <c r="D23" s="124"/>
      <c r="E23" s="124"/>
      <c r="F23" s="124"/>
      <c r="G23" s="124"/>
      <c r="H23" s="124"/>
      <c r="I23" s="50" t="str" cm="1">
        <f t="array" ref="I23">_xlfn.IFS(I22&gt;= 70,"A",I22&gt;=60,"B",I22&gt;=50,"C",I22&gt;=45,"D",I22&gt;=40,"E",I22&lt;40,"F")</f>
        <v>D</v>
      </c>
      <c r="J23" s="50" t="str" cm="1">
        <f t="array" ref="J23">_xlfn.IFS(J22&gt;= 70,"A",J22&gt;=60,"B",J22&gt;=50,"C",J22&gt;=45,"D",J22&gt;=40,"E",J22&lt;40,"F")</f>
        <v>D</v>
      </c>
      <c r="K23" s="50" t="str" cm="1">
        <f t="array" ref="K23">_xlfn.IFS(K22&gt;= 70,"A",K22&gt;=60,"B",K22&gt;=50,"C",K22&gt;=45,"D",K22&gt;=40,"E",K22&lt;40,"F")</f>
        <v>D</v>
      </c>
      <c r="L23" s="50" t="str" cm="1">
        <f t="array" ref="L23">_xlfn.IFS(L22&gt;= 70,"A",L22&gt;=60,"B",L22&gt;=50,"C",L22&gt;=45,"D",L22&gt;=40,"E",L22&lt;40,"F")</f>
        <v>D</v>
      </c>
      <c r="M23" s="50" t="str" cm="1">
        <f t="array" ref="M23">_xlfn.IFS(M22&gt;= 70,"A",M22&gt;=60,"B",M22&gt;=50,"C",M22&gt;=45,"D",M22&gt;=40,"E",M22&lt;40,"F")</f>
        <v>D</v>
      </c>
      <c r="N23" s="50" t="str" cm="1">
        <f t="array" ref="N23">_xlfn.IFS(N22&gt;= 70,"A",N22&gt;=60,"B",N22&gt;=50,"C",N22&gt;=45,"D",N22&gt;=40,"E",N22&lt;40,"F")</f>
        <v>C</v>
      </c>
      <c r="O23" s="50" t="str" cm="1">
        <f t="array" ref="O23">_xlfn.IFS(O22&gt;= 70,"A",O22&gt;=60,"B",O22&gt;=50,"C",O22&gt;=45,"D",O22&gt;=40,"E",O22&lt;40,"F")</f>
        <v>C</v>
      </c>
      <c r="P23" s="50" t="str" cm="1">
        <f t="array" ref="P23">_xlfn.IFS(P22&gt;= 70,"A",P22&gt;=60,"B",P22&gt;=50,"C",P22&gt;=45,"D",P22&gt;=40,"E",P22&lt;40,"F")</f>
        <v>C</v>
      </c>
      <c r="Q23" s="50" t="str" cm="1">
        <f t="array" ref="Q23">_xlfn.IFS(Q22&gt;= 70,"A",Q22&gt;=60,"B",Q22&gt;=50,"C",Q22&gt;=45,"D",Q22&gt;=40,"E",Q22&lt;40,"F")</f>
        <v>C</v>
      </c>
      <c r="R23" s="50" t="str" cm="1">
        <f t="array" ref="R23">_xlfn.IFS(R22&gt;= 70,"A",R22&gt;=60,"B",R22&gt;=50,"C",R22&gt;=45,"D",R22&gt;=40,"E",R22&lt;40,"F")</f>
        <v>C</v>
      </c>
      <c r="S23" s="50" t="str" cm="1">
        <f t="array" ref="S23">_xlfn.IFS(S22&gt;= 70,"A",S22&gt;=60,"B",S22&gt;=50,"C",S22&gt;=45,"D",S22&gt;=40,"E",S22&lt;40,"F")</f>
        <v>C</v>
      </c>
      <c r="T23" s="50" t="str" cm="1">
        <f t="array" ref="T23">_xlfn.IFS(T22&gt;= 70,"A",T22&gt;=60,"B",T22&gt;=50,"C",T22&gt;=45,"D",T22&gt;=40,"E",T22&lt;40,"F")</f>
        <v>C</v>
      </c>
      <c r="U23" s="50" t="str" cm="1">
        <f t="array" ref="U23">_xlfn.IFS(U22&gt;= 70,"A",U22&gt;=60,"B",U22&gt;=50,"C",U22&gt;=45,"D",U22&gt;=40,"E",U22&lt;40,"F")</f>
        <v>C</v>
      </c>
      <c r="V23" s="50" t="str" cm="1">
        <f t="array" ref="V23">_xlfn.IFS(V22&gt;= 70,"A",V22&gt;=60,"B",V22&gt;=50,"C",V22&gt;=45,"D",V22&gt;=40,"E",V22&lt;40,"F")</f>
        <v>C</v>
      </c>
      <c r="W23" s="50" t="str" cm="1">
        <f t="array" ref="W23">_xlfn.IFS(W22&gt;= 70,"A",W22&gt;=60,"B",W22&gt;=50,"C",W22&gt;=45,"D",W22&gt;=40,"E",W22&lt;40,"F")</f>
        <v>C</v>
      </c>
      <c r="X23" s="50" t="str" cm="1">
        <f t="array" ref="X23">_xlfn.IFS(X22&gt;= 70,"A",X22&gt;=60,"B",X22&gt;=50,"C",X22&gt;=45,"D",X22&gt;=40,"E",X22&lt;40,"F")</f>
        <v>B</v>
      </c>
      <c r="Y23" s="50" t="str" cm="1">
        <f t="array" ref="Y23">_xlfn.IFS(Y22&gt;= 70,"A",Y22&gt;=60,"B",Y22&gt;=50,"C",Y22&gt;=45,"D",Y22&gt;=40,"E",Y22&lt;40,"F")</f>
        <v>B</v>
      </c>
      <c r="Z23" s="50" t="str" cm="1">
        <f t="array" ref="Z23">_xlfn.IFS(Z22&gt;= 70,"A",Z22&gt;=60,"B",Z22&gt;=50,"C",Z22&gt;=45,"D",Z22&gt;=40,"E",Z22&lt;40,"F")</f>
        <v>B</v>
      </c>
      <c r="AA23" s="50" t="str" cm="1">
        <f t="array" ref="AA23">_xlfn.IFS(AA22&gt;= 70,"A",AA22&gt;=60,"B",AA22&gt;=50,"C",AA22&gt;=45,"D",AA22&gt;=40,"E",AA22&lt;40,"F")</f>
        <v>B</v>
      </c>
      <c r="AB23" s="50" t="str" cm="1">
        <f t="array" ref="AB23">_xlfn.IFS(AB22&gt;= 70,"A",AB22&gt;=60,"B",AB22&gt;=50,"C",AB22&gt;=45,"D",AB22&gt;=40,"E",AB22&lt;40,"F")</f>
        <v>B</v>
      </c>
      <c r="AC23" s="50" t="str" cm="1">
        <f t="array" ref="AC23">_xlfn.IFS(AC22&gt;= 70,"A",AC22&gt;=60,"B",AC22&gt;=50,"C",AC22&gt;=45,"D",AC22&gt;=40,"E",AC22&lt;40,"F")</f>
        <v>B</v>
      </c>
      <c r="AD23" s="50" t="str" cm="1">
        <f t="array" ref="AD23">_xlfn.IFS(AD22&gt;= 70,"A",AD22&gt;=60,"B",AD22&gt;=50,"C",AD22&gt;=45,"D",AD22&gt;=40,"E",AD22&lt;40,"F")</f>
        <v>B</v>
      </c>
      <c r="AE23" s="50" t="str" cm="1">
        <f t="array" ref="AE23">_xlfn.IFS(AE22&gt;= 70,"A",AE22&gt;=60,"B",AE22&gt;=50,"C",AE22&gt;=45,"D",AE22&gt;=40,"E",AE22&lt;40,"F")</f>
        <v>B</v>
      </c>
      <c r="AF23" s="50" t="str" cm="1">
        <f t="array" ref="AF23">_xlfn.IFS(AF22&gt;= 70,"A",AF22&gt;=60,"B",AF22&gt;=50,"C",AF22&gt;=45,"D",AF22&gt;=40,"E",AF22&lt;40,"F")</f>
        <v>B</v>
      </c>
      <c r="AG23" s="7"/>
      <c r="AH23" s="48" t="str" cm="1">
        <f t="array" ref="AH23">_xlfn.IFS(AG23&gt;= 70,"A",AG23&gt;=60,"B",AG23&gt;=50,"C",AG23&gt;=45,"D",AG23&gt;=40,"E",AG23&lt;40,"F")</f>
        <v>F</v>
      </c>
      <c r="AI23" s="7"/>
      <c r="AJ23" s="48" t="str" cm="1">
        <f t="array" ref="AJ23">_xlfn.IFS(AI23&gt;= 70,"A",AI23&gt;=60,"B",AI23&gt;=50,"C",AI23&gt;=45,"D",AI23&gt;=40,"E",AI23&lt;40,"F")</f>
        <v>F</v>
      </c>
      <c r="AK23" s="7"/>
      <c r="AL23" s="48" t="str" cm="1">
        <f t="array" ref="AL23">_xlfn.IFS(AK23&gt;= 70,"A",AK23&gt;=60,"B",AK23&gt;=50,"C",AK23&gt;=45,"D",AK23&gt;=40,"E",AK23&lt;40,"F")</f>
        <v>F</v>
      </c>
      <c r="AM23" s="56">
        <f t="shared" ref="AM23" si="29">SUMIFS($I$4:$W$4,I22:W22,"&gt;0")</f>
        <v>23</v>
      </c>
      <c r="AN23" s="47">
        <f t="shared" ref="AN23" si="30">(SUMIFS($I$4:$W$4,I22:W22,"&gt;0")-SUMIFS($I$4:$W$4,I23:W23,"F"))</f>
        <v>23</v>
      </c>
      <c r="AO23" s="56">
        <f t="shared" ref="AO23" si="31">SUMIFS($I$4:$W$4,I23:W23,"F")</f>
        <v>0</v>
      </c>
      <c r="AP23" s="76"/>
      <c r="AQ23" s="74"/>
      <c r="AR23" s="71"/>
    </row>
    <row r="24" spans="1:44" ht="30" customHeight="1" thickTop="1" x14ac:dyDescent="0.3">
      <c r="A24" s="103">
        <v>10</v>
      </c>
      <c r="B24" s="72"/>
      <c r="C24" s="75"/>
      <c r="D24" s="84"/>
      <c r="E24" s="84"/>
      <c r="F24" s="84"/>
      <c r="G24" s="84"/>
      <c r="H24" s="84"/>
      <c r="I24" s="49">
        <v>45</v>
      </c>
      <c r="J24" s="49">
        <v>46</v>
      </c>
      <c r="K24" s="49">
        <v>47</v>
      </c>
      <c r="L24" s="49">
        <v>48</v>
      </c>
      <c r="M24" s="49">
        <v>49</v>
      </c>
      <c r="N24" s="49">
        <v>50</v>
      </c>
      <c r="O24" s="49">
        <v>51</v>
      </c>
      <c r="P24" s="49">
        <v>52</v>
      </c>
      <c r="Q24" s="49">
        <v>53</v>
      </c>
      <c r="R24" s="49">
        <v>54</v>
      </c>
      <c r="S24" s="49">
        <v>55</v>
      </c>
      <c r="T24" s="49">
        <v>56</v>
      </c>
      <c r="U24" s="49">
        <v>57</v>
      </c>
      <c r="V24" s="49">
        <v>58</v>
      </c>
      <c r="W24" s="49">
        <v>59</v>
      </c>
      <c r="X24" s="49">
        <v>60</v>
      </c>
      <c r="Y24" s="49">
        <v>61</v>
      </c>
      <c r="Z24" s="49">
        <v>62</v>
      </c>
      <c r="AA24" s="49">
        <v>63</v>
      </c>
      <c r="AB24" s="49">
        <v>64</v>
      </c>
      <c r="AC24" s="49">
        <v>65</v>
      </c>
      <c r="AD24" s="49">
        <v>66</v>
      </c>
      <c r="AE24" s="49">
        <v>67</v>
      </c>
      <c r="AF24" s="49">
        <v>68</v>
      </c>
      <c r="AG24" s="7"/>
      <c r="AH24" s="48" t="str" cm="1">
        <f t="array" ref="AH24">_xlfn.IFS(AG24&gt;= 70,"A",AG24&gt;=60,"B",AG24&gt;=50,"C",AG24&gt;=45,"D",AG24&gt;=40,"E",AG24&lt;40,"F")</f>
        <v>F</v>
      </c>
      <c r="AI24" s="7"/>
      <c r="AJ24" s="48" t="str" cm="1">
        <f t="array" ref="AJ24">_xlfn.IFS(AI24&gt;= 70,"A",AI24&gt;=60,"B",AI24&gt;=50,"C",AI24&gt;=45,"D",AI24&gt;=40,"E",AI24&lt;40,"F")</f>
        <v>F</v>
      </c>
      <c r="AK24" s="7"/>
      <c r="AL24" s="48" t="str" cm="1">
        <f t="array" ref="AL24">_xlfn.IFS(AK24&gt;= 70,"A",AK24&gt;=60,"B",AK24&gt;=50,"C",AK24&gt;=45,"D",AK24&gt;=40,"E",AK24&lt;40,"F")</f>
        <v>F</v>
      </c>
      <c r="AM24" s="59"/>
      <c r="AN24" s="46"/>
      <c r="AO24" s="59"/>
      <c r="AP24" s="75" cm="1">
        <f t="array" ref="AP24">SUM(VLOOKUP(I25:W25,GRADEPOINT!$A$2:$B$7,2,0)*$I$4:$W$4)</f>
        <v>61</v>
      </c>
      <c r="AQ24" s="73">
        <f t="shared" ref="AQ24" si="32">ROUND(AP24/AM25,2)</f>
        <v>2.65</v>
      </c>
      <c r="AR24" s="72"/>
    </row>
    <row r="25" spans="1:44" ht="30" customHeight="1" thickBot="1" x14ac:dyDescent="0.35">
      <c r="A25" s="104"/>
      <c r="B25" s="107"/>
      <c r="C25" s="95"/>
      <c r="D25" s="96"/>
      <c r="E25" s="96"/>
      <c r="F25" s="96"/>
      <c r="G25" s="96"/>
      <c r="H25" s="96"/>
      <c r="I25" s="50" t="str" cm="1">
        <f t="array" ref="I25">_xlfn.IFS(I24&gt;= 70,"A",I24&gt;=60,"B",I24&gt;=50,"C",I24&gt;=45,"D",I24&gt;=40,"E",I24&lt;40,"F")</f>
        <v>D</v>
      </c>
      <c r="J25" s="50" t="str" cm="1">
        <f t="array" ref="J25">_xlfn.IFS(J24&gt;= 70,"A",J24&gt;=60,"B",J24&gt;=50,"C",J24&gt;=45,"D",J24&gt;=40,"E",J24&lt;40,"F")</f>
        <v>D</v>
      </c>
      <c r="K25" s="50" t="str" cm="1">
        <f t="array" ref="K25">_xlfn.IFS(K24&gt;= 70,"A",K24&gt;=60,"B",K24&gt;=50,"C",K24&gt;=45,"D",K24&gt;=40,"E",K24&lt;40,"F")</f>
        <v>D</v>
      </c>
      <c r="L25" s="50" t="str" cm="1">
        <f t="array" ref="L25">_xlfn.IFS(L24&gt;= 70,"A",L24&gt;=60,"B",L24&gt;=50,"C",L24&gt;=45,"D",L24&gt;=40,"E",L24&lt;40,"F")</f>
        <v>D</v>
      </c>
      <c r="M25" s="50" t="str" cm="1">
        <f t="array" ref="M25">_xlfn.IFS(M24&gt;= 70,"A",M24&gt;=60,"B",M24&gt;=50,"C",M24&gt;=45,"D",M24&gt;=40,"E",M24&lt;40,"F")</f>
        <v>D</v>
      </c>
      <c r="N25" s="50" t="str" cm="1">
        <f t="array" ref="N25">_xlfn.IFS(N24&gt;= 70,"A",N24&gt;=60,"B",N24&gt;=50,"C",N24&gt;=45,"D",N24&gt;=40,"E",N24&lt;40,"F")</f>
        <v>C</v>
      </c>
      <c r="O25" s="50" t="str" cm="1">
        <f t="array" ref="O25">_xlfn.IFS(O24&gt;= 70,"A",O24&gt;=60,"B",O24&gt;=50,"C",O24&gt;=45,"D",O24&gt;=40,"E",O24&lt;40,"F")</f>
        <v>C</v>
      </c>
      <c r="P25" s="50" t="str" cm="1">
        <f t="array" ref="P25">_xlfn.IFS(P24&gt;= 70,"A",P24&gt;=60,"B",P24&gt;=50,"C",P24&gt;=45,"D",P24&gt;=40,"E",P24&lt;40,"F")</f>
        <v>C</v>
      </c>
      <c r="Q25" s="50" t="str" cm="1">
        <f t="array" ref="Q25">_xlfn.IFS(Q24&gt;= 70,"A",Q24&gt;=60,"B",Q24&gt;=50,"C",Q24&gt;=45,"D",Q24&gt;=40,"E",Q24&lt;40,"F")</f>
        <v>C</v>
      </c>
      <c r="R25" s="50" t="str" cm="1">
        <f t="array" ref="R25">_xlfn.IFS(R24&gt;= 70,"A",R24&gt;=60,"B",R24&gt;=50,"C",R24&gt;=45,"D",R24&gt;=40,"E",R24&lt;40,"F")</f>
        <v>C</v>
      </c>
      <c r="S25" s="50" t="str" cm="1">
        <f t="array" ref="S25">_xlfn.IFS(S24&gt;= 70,"A",S24&gt;=60,"B",S24&gt;=50,"C",S24&gt;=45,"D",S24&gt;=40,"E",S24&lt;40,"F")</f>
        <v>C</v>
      </c>
      <c r="T25" s="50" t="str" cm="1">
        <f t="array" ref="T25">_xlfn.IFS(T24&gt;= 70,"A",T24&gt;=60,"B",T24&gt;=50,"C",T24&gt;=45,"D",T24&gt;=40,"E",T24&lt;40,"F")</f>
        <v>C</v>
      </c>
      <c r="U25" s="50" t="str" cm="1">
        <f t="array" ref="U25">_xlfn.IFS(U24&gt;= 70,"A",U24&gt;=60,"B",U24&gt;=50,"C",U24&gt;=45,"D",U24&gt;=40,"E",U24&lt;40,"F")</f>
        <v>C</v>
      </c>
      <c r="V25" s="50" t="str" cm="1">
        <f t="array" ref="V25">_xlfn.IFS(V24&gt;= 70,"A",V24&gt;=60,"B",V24&gt;=50,"C",V24&gt;=45,"D",V24&gt;=40,"E",V24&lt;40,"F")</f>
        <v>C</v>
      </c>
      <c r="W25" s="50" t="str" cm="1">
        <f t="array" ref="W25">_xlfn.IFS(W24&gt;= 70,"A",W24&gt;=60,"B",W24&gt;=50,"C",W24&gt;=45,"D",W24&gt;=40,"E",W24&lt;40,"F")</f>
        <v>C</v>
      </c>
      <c r="X25" s="50" t="str" cm="1">
        <f t="array" ref="X25">_xlfn.IFS(X24&gt;= 70,"A",X24&gt;=60,"B",X24&gt;=50,"C",X24&gt;=45,"D",X24&gt;=40,"E",X24&lt;40,"F")</f>
        <v>B</v>
      </c>
      <c r="Y25" s="50" t="str" cm="1">
        <f t="array" ref="Y25">_xlfn.IFS(Y24&gt;= 70,"A",Y24&gt;=60,"B",Y24&gt;=50,"C",Y24&gt;=45,"D",Y24&gt;=40,"E",Y24&lt;40,"F")</f>
        <v>B</v>
      </c>
      <c r="Z25" s="50" t="str" cm="1">
        <f t="array" ref="Z25">_xlfn.IFS(Z24&gt;= 70,"A",Z24&gt;=60,"B",Z24&gt;=50,"C",Z24&gt;=45,"D",Z24&gt;=40,"E",Z24&lt;40,"F")</f>
        <v>B</v>
      </c>
      <c r="AA25" s="50" t="str" cm="1">
        <f t="array" ref="AA25">_xlfn.IFS(AA24&gt;= 70,"A",AA24&gt;=60,"B",AA24&gt;=50,"C",AA24&gt;=45,"D",AA24&gt;=40,"E",AA24&lt;40,"F")</f>
        <v>B</v>
      </c>
      <c r="AB25" s="50" t="str" cm="1">
        <f t="array" ref="AB25">_xlfn.IFS(AB24&gt;= 70,"A",AB24&gt;=60,"B",AB24&gt;=50,"C",AB24&gt;=45,"D",AB24&gt;=40,"E",AB24&lt;40,"F")</f>
        <v>B</v>
      </c>
      <c r="AC25" s="50" t="str" cm="1">
        <f t="array" ref="AC25">_xlfn.IFS(AC24&gt;= 70,"A",AC24&gt;=60,"B",AC24&gt;=50,"C",AC24&gt;=45,"D",AC24&gt;=40,"E",AC24&lt;40,"F")</f>
        <v>B</v>
      </c>
      <c r="AD25" s="50" t="str" cm="1">
        <f t="array" ref="AD25">_xlfn.IFS(AD24&gt;= 70,"A",AD24&gt;=60,"B",AD24&gt;=50,"C",AD24&gt;=45,"D",AD24&gt;=40,"E",AD24&lt;40,"F")</f>
        <v>B</v>
      </c>
      <c r="AE25" s="50" t="str" cm="1">
        <f t="array" ref="AE25">_xlfn.IFS(AE24&gt;= 70,"A",AE24&gt;=60,"B",AE24&gt;=50,"C",AE24&gt;=45,"D",AE24&gt;=40,"E",AE24&lt;40,"F")</f>
        <v>B</v>
      </c>
      <c r="AF25" s="50" t="str" cm="1">
        <f t="array" ref="AF25">_xlfn.IFS(AF24&gt;= 70,"A",AF24&gt;=60,"B",AF24&gt;=50,"C",AF24&gt;=45,"D",AF24&gt;=40,"E",AF24&lt;40,"F")</f>
        <v>B</v>
      </c>
      <c r="AG25" s="7"/>
      <c r="AH25" s="48" t="str" cm="1">
        <f t="array" ref="AH25">_xlfn.IFS(AG25&gt;= 70,"A",AG25&gt;=60,"B",AG25&gt;=50,"C",AG25&gt;=45,"D",AG25&gt;=40,"E",AG25&lt;40,"F")</f>
        <v>F</v>
      </c>
      <c r="AI25" s="7"/>
      <c r="AJ25" s="48" t="str" cm="1">
        <f t="array" ref="AJ25">_xlfn.IFS(AI25&gt;= 70,"A",AI25&gt;=60,"B",AI25&gt;=50,"C",AI25&gt;=45,"D",AI25&gt;=40,"E",AI25&lt;40,"F")</f>
        <v>F</v>
      </c>
      <c r="AK25" s="7"/>
      <c r="AL25" s="48" t="str" cm="1">
        <f t="array" ref="AL25">_xlfn.IFS(AK25&gt;= 70,"A",AK25&gt;=60,"B",AK25&gt;=50,"C",AK25&gt;=45,"D",AK25&gt;=40,"E",AK25&lt;40,"F")</f>
        <v>F</v>
      </c>
      <c r="AM25" s="56">
        <f t="shared" ref="AM25" si="33">SUMIFS($I$4:$W$4,I24:W24,"&gt;0")</f>
        <v>23</v>
      </c>
      <c r="AN25" s="47">
        <f t="shared" ref="AN25" si="34">(SUMIFS($I$4:$W$4,I24:W24,"&gt;0")-SUMIFS($I$4:$W$4,I25:W25,"F"))</f>
        <v>23</v>
      </c>
      <c r="AO25" s="56">
        <f t="shared" ref="AO25" si="35">SUMIFS($I$4:$W$4,I25:W25,"F")</f>
        <v>0</v>
      </c>
      <c r="AP25" s="76"/>
      <c r="AQ25" s="74"/>
      <c r="AR25" s="71"/>
    </row>
    <row r="26" spans="1:44" ht="30" customHeight="1" thickTop="1" x14ac:dyDescent="0.3">
      <c r="A26" s="98">
        <v>11</v>
      </c>
      <c r="B26" s="105"/>
      <c r="C26" s="75"/>
      <c r="D26" s="84"/>
      <c r="E26" s="84"/>
      <c r="F26" s="84"/>
      <c r="G26" s="84"/>
      <c r="H26" s="84"/>
      <c r="I26" s="49">
        <v>45</v>
      </c>
      <c r="J26" s="49">
        <v>46</v>
      </c>
      <c r="K26" s="49">
        <v>47</v>
      </c>
      <c r="L26" s="49">
        <v>48</v>
      </c>
      <c r="M26" s="49">
        <v>49</v>
      </c>
      <c r="N26" s="49">
        <v>50</v>
      </c>
      <c r="O26" s="49">
        <v>51</v>
      </c>
      <c r="P26" s="49">
        <v>52</v>
      </c>
      <c r="Q26" s="49">
        <v>53</v>
      </c>
      <c r="R26" s="49">
        <v>54</v>
      </c>
      <c r="S26" s="49">
        <v>55</v>
      </c>
      <c r="T26" s="49">
        <v>56</v>
      </c>
      <c r="U26" s="49">
        <v>57</v>
      </c>
      <c r="V26" s="49">
        <v>58</v>
      </c>
      <c r="W26" s="49">
        <v>59</v>
      </c>
      <c r="X26" s="49">
        <v>60</v>
      </c>
      <c r="Y26" s="49">
        <v>61</v>
      </c>
      <c r="Z26" s="49">
        <v>62</v>
      </c>
      <c r="AA26" s="49">
        <v>63</v>
      </c>
      <c r="AB26" s="49">
        <v>64</v>
      </c>
      <c r="AC26" s="49">
        <v>65</v>
      </c>
      <c r="AD26" s="49">
        <v>66</v>
      </c>
      <c r="AE26" s="49">
        <v>67</v>
      </c>
      <c r="AF26" s="49">
        <v>68</v>
      </c>
      <c r="AG26" s="7"/>
      <c r="AH26" s="48" t="str" cm="1">
        <f t="array" ref="AH26">_xlfn.IFS(AG26&gt;= 70,"A",AG26&gt;=60,"B",AG26&gt;=50,"C",AG26&gt;=45,"D",AG26&gt;=40,"E",AG26&lt;40,"F")</f>
        <v>F</v>
      </c>
      <c r="AI26" s="7"/>
      <c r="AJ26" s="48" t="str" cm="1">
        <f t="array" ref="AJ26">_xlfn.IFS(AI26&gt;= 70,"A",AI26&gt;=60,"B",AI26&gt;=50,"C",AI26&gt;=45,"D",AI26&gt;=40,"E",AI26&lt;40,"F")</f>
        <v>F</v>
      </c>
      <c r="AK26" s="7"/>
      <c r="AL26" s="48" t="str" cm="1">
        <f t="array" ref="AL26">_xlfn.IFS(AK26&gt;= 70,"A",AK26&gt;=60,"B",AK26&gt;=50,"C",AK26&gt;=45,"D",AK26&gt;=40,"E",AK26&lt;40,"F")</f>
        <v>F</v>
      </c>
      <c r="AM26" s="59"/>
      <c r="AN26" s="46"/>
      <c r="AO26" s="59"/>
      <c r="AP26" s="75" cm="1">
        <f t="array" ref="AP26">SUM(VLOOKUP(I27:W27,GRADEPOINT!$A$2:$B$7,2,0)*$I$4:$W$4)</f>
        <v>61</v>
      </c>
      <c r="AQ26" s="73">
        <f t="shared" ref="AQ26" si="36">ROUND(AP26/AM27,2)</f>
        <v>2.65</v>
      </c>
      <c r="AR26" s="72"/>
    </row>
    <row r="27" spans="1:44" ht="30" customHeight="1" thickBot="1" x14ac:dyDescent="0.35">
      <c r="A27" s="99"/>
      <c r="B27" s="106"/>
      <c r="C27" s="95"/>
      <c r="D27" s="96"/>
      <c r="E27" s="96"/>
      <c r="F27" s="96"/>
      <c r="G27" s="96"/>
      <c r="H27" s="96"/>
      <c r="I27" s="50" t="str" cm="1">
        <f t="array" ref="I27">_xlfn.IFS(I26&gt;= 70,"A",I26&gt;=60,"B",I26&gt;=50,"C",I26&gt;=45,"D",I26&gt;=40,"E",I26&lt;40,"F")</f>
        <v>D</v>
      </c>
      <c r="J27" s="50" t="str" cm="1">
        <f t="array" ref="J27">_xlfn.IFS(J26&gt;= 70,"A",J26&gt;=60,"B",J26&gt;=50,"C",J26&gt;=45,"D",J26&gt;=40,"E",J26&lt;40,"F")</f>
        <v>D</v>
      </c>
      <c r="K27" s="50" t="str" cm="1">
        <f t="array" ref="K27">_xlfn.IFS(K26&gt;= 70,"A",K26&gt;=60,"B",K26&gt;=50,"C",K26&gt;=45,"D",K26&gt;=40,"E",K26&lt;40,"F")</f>
        <v>D</v>
      </c>
      <c r="L27" s="50" t="str" cm="1">
        <f t="array" ref="L27">_xlfn.IFS(L26&gt;= 70,"A",L26&gt;=60,"B",L26&gt;=50,"C",L26&gt;=45,"D",L26&gt;=40,"E",L26&lt;40,"F")</f>
        <v>D</v>
      </c>
      <c r="M27" s="50" t="str" cm="1">
        <f t="array" ref="M27">_xlfn.IFS(M26&gt;= 70,"A",M26&gt;=60,"B",M26&gt;=50,"C",M26&gt;=45,"D",M26&gt;=40,"E",M26&lt;40,"F")</f>
        <v>D</v>
      </c>
      <c r="N27" s="50" t="str" cm="1">
        <f t="array" ref="N27">_xlfn.IFS(N26&gt;= 70,"A",N26&gt;=60,"B",N26&gt;=50,"C",N26&gt;=45,"D",N26&gt;=40,"E",N26&lt;40,"F")</f>
        <v>C</v>
      </c>
      <c r="O27" s="50" t="str" cm="1">
        <f t="array" ref="O27">_xlfn.IFS(O26&gt;= 70,"A",O26&gt;=60,"B",O26&gt;=50,"C",O26&gt;=45,"D",O26&gt;=40,"E",O26&lt;40,"F")</f>
        <v>C</v>
      </c>
      <c r="P27" s="50" t="str" cm="1">
        <f t="array" ref="P27">_xlfn.IFS(P26&gt;= 70,"A",P26&gt;=60,"B",P26&gt;=50,"C",P26&gt;=45,"D",P26&gt;=40,"E",P26&lt;40,"F")</f>
        <v>C</v>
      </c>
      <c r="Q27" s="50" t="str" cm="1">
        <f t="array" ref="Q27">_xlfn.IFS(Q26&gt;= 70,"A",Q26&gt;=60,"B",Q26&gt;=50,"C",Q26&gt;=45,"D",Q26&gt;=40,"E",Q26&lt;40,"F")</f>
        <v>C</v>
      </c>
      <c r="R27" s="50" t="str" cm="1">
        <f t="array" ref="R27">_xlfn.IFS(R26&gt;= 70,"A",R26&gt;=60,"B",R26&gt;=50,"C",R26&gt;=45,"D",R26&gt;=40,"E",R26&lt;40,"F")</f>
        <v>C</v>
      </c>
      <c r="S27" s="50" t="str" cm="1">
        <f t="array" ref="S27">_xlfn.IFS(S26&gt;= 70,"A",S26&gt;=60,"B",S26&gt;=50,"C",S26&gt;=45,"D",S26&gt;=40,"E",S26&lt;40,"F")</f>
        <v>C</v>
      </c>
      <c r="T27" s="50" t="str" cm="1">
        <f t="array" ref="T27">_xlfn.IFS(T26&gt;= 70,"A",T26&gt;=60,"B",T26&gt;=50,"C",T26&gt;=45,"D",T26&gt;=40,"E",T26&lt;40,"F")</f>
        <v>C</v>
      </c>
      <c r="U27" s="50" t="str" cm="1">
        <f t="array" ref="U27">_xlfn.IFS(U26&gt;= 70,"A",U26&gt;=60,"B",U26&gt;=50,"C",U26&gt;=45,"D",U26&gt;=40,"E",U26&lt;40,"F")</f>
        <v>C</v>
      </c>
      <c r="V27" s="50" t="str" cm="1">
        <f t="array" ref="V27">_xlfn.IFS(V26&gt;= 70,"A",V26&gt;=60,"B",V26&gt;=50,"C",V26&gt;=45,"D",V26&gt;=40,"E",V26&lt;40,"F")</f>
        <v>C</v>
      </c>
      <c r="W27" s="50" t="str" cm="1">
        <f t="array" ref="W27">_xlfn.IFS(W26&gt;= 70,"A",W26&gt;=60,"B",W26&gt;=50,"C",W26&gt;=45,"D",W26&gt;=40,"E",W26&lt;40,"F")</f>
        <v>C</v>
      </c>
      <c r="X27" s="50" t="str" cm="1">
        <f t="array" ref="X27">_xlfn.IFS(X26&gt;= 70,"A",X26&gt;=60,"B",X26&gt;=50,"C",X26&gt;=45,"D",X26&gt;=40,"E",X26&lt;40,"F")</f>
        <v>B</v>
      </c>
      <c r="Y27" s="50" t="str" cm="1">
        <f t="array" ref="Y27">_xlfn.IFS(Y26&gt;= 70,"A",Y26&gt;=60,"B",Y26&gt;=50,"C",Y26&gt;=45,"D",Y26&gt;=40,"E",Y26&lt;40,"F")</f>
        <v>B</v>
      </c>
      <c r="Z27" s="50" t="str" cm="1">
        <f t="array" ref="Z27">_xlfn.IFS(Z26&gt;= 70,"A",Z26&gt;=60,"B",Z26&gt;=50,"C",Z26&gt;=45,"D",Z26&gt;=40,"E",Z26&lt;40,"F")</f>
        <v>B</v>
      </c>
      <c r="AA27" s="50" t="str" cm="1">
        <f t="array" ref="AA27">_xlfn.IFS(AA26&gt;= 70,"A",AA26&gt;=60,"B",AA26&gt;=50,"C",AA26&gt;=45,"D",AA26&gt;=40,"E",AA26&lt;40,"F")</f>
        <v>B</v>
      </c>
      <c r="AB27" s="50" t="str" cm="1">
        <f t="array" ref="AB27">_xlfn.IFS(AB26&gt;= 70,"A",AB26&gt;=60,"B",AB26&gt;=50,"C",AB26&gt;=45,"D",AB26&gt;=40,"E",AB26&lt;40,"F")</f>
        <v>B</v>
      </c>
      <c r="AC27" s="50" t="str" cm="1">
        <f t="array" ref="AC27">_xlfn.IFS(AC26&gt;= 70,"A",AC26&gt;=60,"B",AC26&gt;=50,"C",AC26&gt;=45,"D",AC26&gt;=40,"E",AC26&lt;40,"F")</f>
        <v>B</v>
      </c>
      <c r="AD27" s="50" t="str" cm="1">
        <f t="array" ref="AD27">_xlfn.IFS(AD26&gt;= 70,"A",AD26&gt;=60,"B",AD26&gt;=50,"C",AD26&gt;=45,"D",AD26&gt;=40,"E",AD26&lt;40,"F")</f>
        <v>B</v>
      </c>
      <c r="AE27" s="50" t="str" cm="1">
        <f t="array" ref="AE27">_xlfn.IFS(AE26&gt;= 70,"A",AE26&gt;=60,"B",AE26&gt;=50,"C",AE26&gt;=45,"D",AE26&gt;=40,"E",AE26&lt;40,"F")</f>
        <v>B</v>
      </c>
      <c r="AF27" s="50" t="str" cm="1">
        <f t="array" ref="AF27">_xlfn.IFS(AF26&gt;= 70,"A",AF26&gt;=60,"B",AF26&gt;=50,"C",AF26&gt;=45,"D",AF26&gt;=40,"E",AF26&lt;40,"F")</f>
        <v>B</v>
      </c>
      <c r="AG27" s="7"/>
      <c r="AH27" s="48" t="str" cm="1">
        <f t="array" ref="AH27">_xlfn.IFS(AG27&gt;= 70,"A",AG27&gt;=60,"B",AG27&gt;=50,"C",AG27&gt;=45,"D",AG27&gt;=40,"E",AG27&lt;40,"F")</f>
        <v>F</v>
      </c>
      <c r="AI27" s="7"/>
      <c r="AJ27" s="48" t="str" cm="1">
        <f t="array" ref="AJ27">_xlfn.IFS(AI27&gt;= 70,"A",AI27&gt;=60,"B",AI27&gt;=50,"C",AI27&gt;=45,"D",AI27&gt;=40,"E",AI27&lt;40,"F")</f>
        <v>F</v>
      </c>
      <c r="AK27" s="7"/>
      <c r="AL27" s="48" t="str" cm="1">
        <f t="array" ref="AL27">_xlfn.IFS(AK27&gt;= 70,"A",AK27&gt;=60,"B",AK27&gt;=50,"C",AK27&gt;=45,"D",AK27&gt;=40,"E",AK27&lt;40,"F")</f>
        <v>F</v>
      </c>
      <c r="AM27" s="56">
        <f t="shared" ref="AM27" si="37">SUMIFS($I$4:$W$4,I26:W26,"&gt;0")</f>
        <v>23</v>
      </c>
      <c r="AN27" s="47">
        <f t="shared" ref="AN27" si="38">(SUMIFS($I$4:$W$4,I26:W26,"&gt;0")-SUMIFS($I$4:$W$4,I27:W27,"F"))</f>
        <v>23</v>
      </c>
      <c r="AO27" s="56">
        <f t="shared" ref="AO27" si="39">SUMIFS($I$4:$W$4,I27:W27,"F")</f>
        <v>0</v>
      </c>
      <c r="AP27" s="76"/>
      <c r="AQ27" s="74"/>
      <c r="AR27" s="71"/>
    </row>
    <row r="28" spans="1:44" ht="30" customHeight="1" thickTop="1" x14ac:dyDescent="0.3">
      <c r="A28" s="98">
        <v>12</v>
      </c>
      <c r="B28" s="77"/>
      <c r="C28" s="75"/>
      <c r="D28" s="84"/>
      <c r="E28" s="84"/>
      <c r="F28" s="84"/>
      <c r="G28" s="84"/>
      <c r="H28" s="84"/>
      <c r="I28" s="49">
        <v>45</v>
      </c>
      <c r="J28" s="49">
        <v>46</v>
      </c>
      <c r="K28" s="49">
        <v>47</v>
      </c>
      <c r="L28" s="49">
        <v>48</v>
      </c>
      <c r="M28" s="49">
        <v>49</v>
      </c>
      <c r="N28" s="49">
        <v>50</v>
      </c>
      <c r="O28" s="49">
        <v>51</v>
      </c>
      <c r="P28" s="49">
        <v>52</v>
      </c>
      <c r="Q28" s="49">
        <v>53</v>
      </c>
      <c r="R28" s="49">
        <v>54</v>
      </c>
      <c r="S28" s="49">
        <v>55</v>
      </c>
      <c r="T28" s="49">
        <v>56</v>
      </c>
      <c r="U28" s="49">
        <v>57</v>
      </c>
      <c r="V28" s="49">
        <v>58</v>
      </c>
      <c r="W28" s="49">
        <v>59</v>
      </c>
      <c r="X28" s="49">
        <v>60</v>
      </c>
      <c r="Y28" s="49">
        <v>61</v>
      </c>
      <c r="Z28" s="49">
        <v>62</v>
      </c>
      <c r="AA28" s="49">
        <v>63</v>
      </c>
      <c r="AB28" s="49">
        <v>64</v>
      </c>
      <c r="AC28" s="49">
        <v>65</v>
      </c>
      <c r="AD28" s="49">
        <v>66</v>
      </c>
      <c r="AE28" s="49">
        <v>67</v>
      </c>
      <c r="AF28" s="49">
        <v>68</v>
      </c>
      <c r="AG28" s="7"/>
      <c r="AH28" s="48" t="str" cm="1">
        <f t="array" ref="AH28">_xlfn.IFS(AG28&gt;= 70,"A",AG28&gt;=60,"B",AG28&gt;=50,"C",AG28&gt;=45,"D",AG28&gt;=40,"E",AG28&lt;40,"F")</f>
        <v>F</v>
      </c>
      <c r="AI28" s="7"/>
      <c r="AJ28" s="48" t="str" cm="1">
        <f t="array" ref="AJ28">_xlfn.IFS(AI28&gt;= 70,"A",AI28&gt;=60,"B",AI28&gt;=50,"C",AI28&gt;=45,"D",AI28&gt;=40,"E",AI28&lt;40,"F")</f>
        <v>F</v>
      </c>
      <c r="AK28" s="7"/>
      <c r="AL28" s="48" t="str" cm="1">
        <f t="array" ref="AL28">_xlfn.IFS(AK28&gt;= 70,"A",AK28&gt;=60,"B",AK28&gt;=50,"C",AK28&gt;=45,"D",AK28&gt;=40,"E",AK28&lt;40,"F")</f>
        <v>F</v>
      </c>
      <c r="AM28" s="59"/>
      <c r="AN28" s="46"/>
      <c r="AO28" s="59"/>
      <c r="AP28" s="75" cm="1">
        <f t="array" ref="AP28">SUM(VLOOKUP(I29:W29,GRADEPOINT!$A$2:$B$7,2,0)*$I$4:$W$4)</f>
        <v>61</v>
      </c>
      <c r="AQ28" s="73">
        <f t="shared" ref="AQ28" si="40">ROUND(AP28/AM29,2)</f>
        <v>2.65</v>
      </c>
      <c r="AR28" s="72"/>
    </row>
    <row r="29" spans="1:44" ht="30" customHeight="1" thickBot="1" x14ac:dyDescent="0.35">
      <c r="A29" s="99"/>
      <c r="B29" s="83"/>
      <c r="C29" s="95"/>
      <c r="D29" s="96"/>
      <c r="E29" s="96"/>
      <c r="F29" s="96"/>
      <c r="G29" s="96"/>
      <c r="H29" s="96"/>
      <c r="I29" s="50" t="str" cm="1">
        <f t="array" ref="I29">_xlfn.IFS(I28&gt;= 70,"A",I28&gt;=60,"B",I28&gt;=50,"C",I28&gt;=45,"D",I28&gt;=40,"E",I28&lt;40,"F")</f>
        <v>D</v>
      </c>
      <c r="J29" s="50" t="str" cm="1">
        <f t="array" ref="J29">_xlfn.IFS(J28&gt;= 70,"A",J28&gt;=60,"B",J28&gt;=50,"C",J28&gt;=45,"D",J28&gt;=40,"E",J28&lt;40,"F")</f>
        <v>D</v>
      </c>
      <c r="K29" s="50" t="str" cm="1">
        <f t="array" ref="K29">_xlfn.IFS(K28&gt;= 70,"A",K28&gt;=60,"B",K28&gt;=50,"C",K28&gt;=45,"D",K28&gt;=40,"E",K28&lt;40,"F")</f>
        <v>D</v>
      </c>
      <c r="L29" s="50" t="str" cm="1">
        <f t="array" ref="L29">_xlfn.IFS(L28&gt;= 70,"A",L28&gt;=60,"B",L28&gt;=50,"C",L28&gt;=45,"D",L28&gt;=40,"E",L28&lt;40,"F")</f>
        <v>D</v>
      </c>
      <c r="M29" s="50" t="str" cm="1">
        <f t="array" ref="M29">_xlfn.IFS(M28&gt;= 70,"A",M28&gt;=60,"B",M28&gt;=50,"C",M28&gt;=45,"D",M28&gt;=40,"E",M28&lt;40,"F")</f>
        <v>D</v>
      </c>
      <c r="N29" s="50" t="str" cm="1">
        <f t="array" ref="N29">_xlfn.IFS(N28&gt;= 70,"A",N28&gt;=60,"B",N28&gt;=50,"C",N28&gt;=45,"D",N28&gt;=40,"E",N28&lt;40,"F")</f>
        <v>C</v>
      </c>
      <c r="O29" s="50" t="str" cm="1">
        <f t="array" ref="O29">_xlfn.IFS(O28&gt;= 70,"A",O28&gt;=60,"B",O28&gt;=50,"C",O28&gt;=45,"D",O28&gt;=40,"E",O28&lt;40,"F")</f>
        <v>C</v>
      </c>
      <c r="P29" s="50" t="str" cm="1">
        <f t="array" ref="P29">_xlfn.IFS(P28&gt;= 70,"A",P28&gt;=60,"B",P28&gt;=50,"C",P28&gt;=45,"D",P28&gt;=40,"E",P28&lt;40,"F")</f>
        <v>C</v>
      </c>
      <c r="Q29" s="50" t="str" cm="1">
        <f t="array" ref="Q29">_xlfn.IFS(Q28&gt;= 70,"A",Q28&gt;=60,"B",Q28&gt;=50,"C",Q28&gt;=45,"D",Q28&gt;=40,"E",Q28&lt;40,"F")</f>
        <v>C</v>
      </c>
      <c r="R29" s="50" t="str" cm="1">
        <f t="array" ref="R29">_xlfn.IFS(R28&gt;= 70,"A",R28&gt;=60,"B",R28&gt;=50,"C",R28&gt;=45,"D",R28&gt;=40,"E",R28&lt;40,"F")</f>
        <v>C</v>
      </c>
      <c r="S29" s="50" t="str" cm="1">
        <f t="array" ref="S29">_xlfn.IFS(S28&gt;= 70,"A",S28&gt;=60,"B",S28&gt;=50,"C",S28&gt;=45,"D",S28&gt;=40,"E",S28&lt;40,"F")</f>
        <v>C</v>
      </c>
      <c r="T29" s="50" t="str" cm="1">
        <f t="array" ref="T29">_xlfn.IFS(T28&gt;= 70,"A",T28&gt;=60,"B",T28&gt;=50,"C",T28&gt;=45,"D",T28&gt;=40,"E",T28&lt;40,"F")</f>
        <v>C</v>
      </c>
      <c r="U29" s="50" t="str" cm="1">
        <f t="array" ref="U29">_xlfn.IFS(U28&gt;= 70,"A",U28&gt;=60,"B",U28&gt;=50,"C",U28&gt;=45,"D",U28&gt;=40,"E",U28&lt;40,"F")</f>
        <v>C</v>
      </c>
      <c r="V29" s="50" t="str" cm="1">
        <f t="array" ref="V29">_xlfn.IFS(V28&gt;= 70,"A",V28&gt;=60,"B",V28&gt;=50,"C",V28&gt;=45,"D",V28&gt;=40,"E",V28&lt;40,"F")</f>
        <v>C</v>
      </c>
      <c r="W29" s="50" t="str" cm="1">
        <f t="array" ref="W29">_xlfn.IFS(W28&gt;= 70,"A",W28&gt;=60,"B",W28&gt;=50,"C",W28&gt;=45,"D",W28&gt;=40,"E",W28&lt;40,"F")</f>
        <v>C</v>
      </c>
      <c r="X29" s="50" t="str" cm="1">
        <f t="array" ref="X29">_xlfn.IFS(X28&gt;= 70,"A",X28&gt;=60,"B",X28&gt;=50,"C",X28&gt;=45,"D",X28&gt;=40,"E",X28&lt;40,"F")</f>
        <v>B</v>
      </c>
      <c r="Y29" s="50" t="str" cm="1">
        <f t="array" ref="Y29">_xlfn.IFS(Y28&gt;= 70,"A",Y28&gt;=60,"B",Y28&gt;=50,"C",Y28&gt;=45,"D",Y28&gt;=40,"E",Y28&lt;40,"F")</f>
        <v>B</v>
      </c>
      <c r="Z29" s="50" t="str" cm="1">
        <f t="array" ref="Z29">_xlfn.IFS(Z28&gt;= 70,"A",Z28&gt;=60,"B",Z28&gt;=50,"C",Z28&gt;=45,"D",Z28&gt;=40,"E",Z28&lt;40,"F")</f>
        <v>B</v>
      </c>
      <c r="AA29" s="50" t="str" cm="1">
        <f t="array" ref="AA29">_xlfn.IFS(AA28&gt;= 70,"A",AA28&gt;=60,"B",AA28&gt;=50,"C",AA28&gt;=45,"D",AA28&gt;=40,"E",AA28&lt;40,"F")</f>
        <v>B</v>
      </c>
      <c r="AB29" s="50" t="str" cm="1">
        <f t="array" ref="AB29">_xlfn.IFS(AB28&gt;= 70,"A",AB28&gt;=60,"B",AB28&gt;=50,"C",AB28&gt;=45,"D",AB28&gt;=40,"E",AB28&lt;40,"F")</f>
        <v>B</v>
      </c>
      <c r="AC29" s="50" t="str" cm="1">
        <f t="array" ref="AC29">_xlfn.IFS(AC28&gt;= 70,"A",AC28&gt;=60,"B",AC28&gt;=50,"C",AC28&gt;=45,"D",AC28&gt;=40,"E",AC28&lt;40,"F")</f>
        <v>B</v>
      </c>
      <c r="AD29" s="50" t="str" cm="1">
        <f t="array" ref="AD29">_xlfn.IFS(AD28&gt;= 70,"A",AD28&gt;=60,"B",AD28&gt;=50,"C",AD28&gt;=45,"D",AD28&gt;=40,"E",AD28&lt;40,"F")</f>
        <v>B</v>
      </c>
      <c r="AE29" s="50" t="str" cm="1">
        <f t="array" ref="AE29">_xlfn.IFS(AE28&gt;= 70,"A",AE28&gt;=60,"B",AE28&gt;=50,"C",AE28&gt;=45,"D",AE28&gt;=40,"E",AE28&lt;40,"F")</f>
        <v>B</v>
      </c>
      <c r="AF29" s="50" t="str" cm="1">
        <f t="array" ref="AF29">_xlfn.IFS(AF28&gt;= 70,"A",AF28&gt;=60,"B",AF28&gt;=50,"C",AF28&gt;=45,"D",AF28&gt;=40,"E",AF28&lt;40,"F")</f>
        <v>B</v>
      </c>
      <c r="AG29" s="7"/>
      <c r="AH29" s="48" t="str" cm="1">
        <f t="array" ref="AH29">_xlfn.IFS(AG29&gt;= 70,"A",AG29&gt;=60,"B",AG29&gt;=50,"C",AG29&gt;=45,"D",AG29&gt;=40,"E",AG29&lt;40,"F")</f>
        <v>F</v>
      </c>
      <c r="AI29" s="7"/>
      <c r="AJ29" s="48" t="str" cm="1">
        <f t="array" ref="AJ29">_xlfn.IFS(AI29&gt;= 70,"A",AI29&gt;=60,"B",AI29&gt;=50,"C",AI29&gt;=45,"D",AI29&gt;=40,"E",AI29&lt;40,"F")</f>
        <v>F</v>
      </c>
      <c r="AK29" s="7"/>
      <c r="AL29" s="48" t="str" cm="1">
        <f t="array" ref="AL29">_xlfn.IFS(AK29&gt;= 70,"A",AK29&gt;=60,"B",AK29&gt;=50,"C",AK29&gt;=45,"D",AK29&gt;=40,"E",AK29&lt;40,"F")</f>
        <v>F</v>
      </c>
      <c r="AM29" s="56">
        <f t="shared" ref="AM29" si="41">SUMIFS($I$4:$W$4,I28:W28,"&gt;0")</f>
        <v>23</v>
      </c>
      <c r="AN29" s="47">
        <f t="shared" ref="AN29" si="42">(SUMIFS($I$4:$W$4,I28:W28,"&gt;0")-SUMIFS($I$4:$W$4,I29:W29,"F"))</f>
        <v>23</v>
      </c>
      <c r="AO29" s="56">
        <f t="shared" ref="AO29" si="43">SUMIFS($I$4:$W$4,I29:W29,"F")</f>
        <v>0</v>
      </c>
      <c r="AP29" s="76"/>
      <c r="AQ29" s="74"/>
      <c r="AR29" s="71"/>
    </row>
    <row r="30" spans="1:44" ht="30" customHeight="1" thickTop="1" x14ac:dyDescent="0.3">
      <c r="A30" s="98">
        <v>13</v>
      </c>
      <c r="B30" s="77"/>
      <c r="C30" s="75"/>
      <c r="D30" s="84"/>
      <c r="E30" s="84"/>
      <c r="F30" s="84"/>
      <c r="G30" s="84"/>
      <c r="H30" s="84"/>
      <c r="I30" s="49">
        <v>45</v>
      </c>
      <c r="J30" s="49">
        <v>46</v>
      </c>
      <c r="K30" s="49">
        <v>47</v>
      </c>
      <c r="L30" s="49">
        <v>48</v>
      </c>
      <c r="M30" s="49">
        <v>49</v>
      </c>
      <c r="N30" s="49">
        <v>50</v>
      </c>
      <c r="O30" s="49">
        <v>51</v>
      </c>
      <c r="P30" s="49">
        <v>52</v>
      </c>
      <c r="Q30" s="49">
        <v>53</v>
      </c>
      <c r="R30" s="49">
        <v>54</v>
      </c>
      <c r="S30" s="49">
        <v>55</v>
      </c>
      <c r="T30" s="49">
        <v>56</v>
      </c>
      <c r="U30" s="49">
        <v>57</v>
      </c>
      <c r="V30" s="49">
        <v>58</v>
      </c>
      <c r="W30" s="49">
        <v>59</v>
      </c>
      <c r="X30" s="49">
        <v>60</v>
      </c>
      <c r="Y30" s="49">
        <v>61</v>
      </c>
      <c r="Z30" s="49">
        <v>62</v>
      </c>
      <c r="AA30" s="49">
        <v>63</v>
      </c>
      <c r="AB30" s="49">
        <v>64</v>
      </c>
      <c r="AC30" s="49">
        <v>65</v>
      </c>
      <c r="AD30" s="49">
        <v>66</v>
      </c>
      <c r="AE30" s="49">
        <v>67</v>
      </c>
      <c r="AF30" s="49">
        <v>68</v>
      </c>
      <c r="AG30" s="7"/>
      <c r="AH30" s="48" t="str" cm="1">
        <f t="array" ref="AH30">_xlfn.IFS(AG30&gt;= 70,"A",AG30&gt;=60,"B",AG30&gt;=50,"C",AG30&gt;=45,"D",AG30&gt;=40,"E",AG30&lt;40,"F")</f>
        <v>F</v>
      </c>
      <c r="AI30" s="7"/>
      <c r="AJ30" s="48" t="str" cm="1">
        <f t="array" ref="AJ30">_xlfn.IFS(AI30&gt;= 70,"A",AI30&gt;=60,"B",AI30&gt;=50,"C",AI30&gt;=45,"D",AI30&gt;=40,"E",AI30&lt;40,"F")</f>
        <v>F</v>
      </c>
      <c r="AK30" s="7"/>
      <c r="AL30" s="48" t="str" cm="1">
        <f t="array" ref="AL30">_xlfn.IFS(AK30&gt;= 70,"A",AK30&gt;=60,"B",AK30&gt;=50,"C",AK30&gt;=45,"D",AK30&gt;=40,"E",AK30&lt;40,"F")</f>
        <v>F</v>
      </c>
      <c r="AM30" s="59"/>
      <c r="AN30" s="46"/>
      <c r="AO30" s="59"/>
      <c r="AP30" s="75" cm="1">
        <f t="array" ref="AP30">SUM(VLOOKUP(I31:W31,GRADEPOINT!$A$2:$B$7,2,0)*$I$4:$W$4)</f>
        <v>61</v>
      </c>
      <c r="AQ30" s="73">
        <f t="shared" ref="AQ30" si="44">ROUND(AP30/AM31,2)</f>
        <v>2.65</v>
      </c>
      <c r="AR30" s="72"/>
    </row>
    <row r="31" spans="1:44" ht="30" customHeight="1" thickBot="1" x14ac:dyDescent="0.35">
      <c r="A31" s="99"/>
      <c r="B31" s="83"/>
      <c r="C31" s="95"/>
      <c r="D31" s="96"/>
      <c r="E31" s="96"/>
      <c r="F31" s="96"/>
      <c r="G31" s="96"/>
      <c r="H31" s="96"/>
      <c r="I31" s="50" t="str" cm="1">
        <f t="array" ref="I31">_xlfn.IFS(I30&gt;= 70,"A",I30&gt;=60,"B",I30&gt;=50,"C",I30&gt;=45,"D",I30&gt;=40,"E",I30&lt;40,"F")</f>
        <v>D</v>
      </c>
      <c r="J31" s="50" t="str" cm="1">
        <f t="array" ref="J31">_xlfn.IFS(J30&gt;= 70,"A",J30&gt;=60,"B",J30&gt;=50,"C",J30&gt;=45,"D",J30&gt;=40,"E",J30&lt;40,"F")</f>
        <v>D</v>
      </c>
      <c r="K31" s="50" t="str" cm="1">
        <f t="array" ref="K31">_xlfn.IFS(K30&gt;= 70,"A",K30&gt;=60,"B",K30&gt;=50,"C",K30&gt;=45,"D",K30&gt;=40,"E",K30&lt;40,"F")</f>
        <v>D</v>
      </c>
      <c r="L31" s="50" t="str" cm="1">
        <f t="array" ref="L31">_xlfn.IFS(L30&gt;= 70,"A",L30&gt;=60,"B",L30&gt;=50,"C",L30&gt;=45,"D",L30&gt;=40,"E",L30&lt;40,"F")</f>
        <v>D</v>
      </c>
      <c r="M31" s="50" t="str" cm="1">
        <f t="array" ref="M31">_xlfn.IFS(M30&gt;= 70,"A",M30&gt;=60,"B",M30&gt;=50,"C",M30&gt;=45,"D",M30&gt;=40,"E",M30&lt;40,"F")</f>
        <v>D</v>
      </c>
      <c r="N31" s="50" t="str" cm="1">
        <f t="array" ref="N31">_xlfn.IFS(N30&gt;= 70,"A",N30&gt;=60,"B",N30&gt;=50,"C",N30&gt;=45,"D",N30&gt;=40,"E",N30&lt;40,"F")</f>
        <v>C</v>
      </c>
      <c r="O31" s="50" t="str" cm="1">
        <f t="array" ref="O31">_xlfn.IFS(O30&gt;= 70,"A",O30&gt;=60,"B",O30&gt;=50,"C",O30&gt;=45,"D",O30&gt;=40,"E",O30&lt;40,"F")</f>
        <v>C</v>
      </c>
      <c r="P31" s="50" t="str" cm="1">
        <f t="array" ref="P31">_xlfn.IFS(P30&gt;= 70,"A",P30&gt;=60,"B",P30&gt;=50,"C",P30&gt;=45,"D",P30&gt;=40,"E",P30&lt;40,"F")</f>
        <v>C</v>
      </c>
      <c r="Q31" s="50" t="str" cm="1">
        <f t="array" ref="Q31">_xlfn.IFS(Q30&gt;= 70,"A",Q30&gt;=60,"B",Q30&gt;=50,"C",Q30&gt;=45,"D",Q30&gt;=40,"E",Q30&lt;40,"F")</f>
        <v>C</v>
      </c>
      <c r="R31" s="50" t="str" cm="1">
        <f t="array" ref="R31">_xlfn.IFS(R30&gt;= 70,"A",R30&gt;=60,"B",R30&gt;=50,"C",R30&gt;=45,"D",R30&gt;=40,"E",R30&lt;40,"F")</f>
        <v>C</v>
      </c>
      <c r="S31" s="50" t="str" cm="1">
        <f t="array" ref="S31">_xlfn.IFS(S30&gt;= 70,"A",S30&gt;=60,"B",S30&gt;=50,"C",S30&gt;=45,"D",S30&gt;=40,"E",S30&lt;40,"F")</f>
        <v>C</v>
      </c>
      <c r="T31" s="50" t="str" cm="1">
        <f t="array" ref="T31">_xlfn.IFS(T30&gt;= 70,"A",T30&gt;=60,"B",T30&gt;=50,"C",T30&gt;=45,"D",T30&gt;=40,"E",T30&lt;40,"F")</f>
        <v>C</v>
      </c>
      <c r="U31" s="50" t="str" cm="1">
        <f t="array" ref="U31">_xlfn.IFS(U30&gt;= 70,"A",U30&gt;=60,"B",U30&gt;=50,"C",U30&gt;=45,"D",U30&gt;=40,"E",U30&lt;40,"F")</f>
        <v>C</v>
      </c>
      <c r="V31" s="50" t="str" cm="1">
        <f t="array" ref="V31">_xlfn.IFS(V30&gt;= 70,"A",V30&gt;=60,"B",V30&gt;=50,"C",V30&gt;=45,"D",V30&gt;=40,"E",V30&lt;40,"F")</f>
        <v>C</v>
      </c>
      <c r="W31" s="50" t="str" cm="1">
        <f t="array" ref="W31">_xlfn.IFS(W30&gt;= 70,"A",W30&gt;=60,"B",W30&gt;=50,"C",W30&gt;=45,"D",W30&gt;=40,"E",W30&lt;40,"F")</f>
        <v>C</v>
      </c>
      <c r="X31" s="50" t="str" cm="1">
        <f t="array" ref="X31">_xlfn.IFS(X30&gt;= 70,"A",X30&gt;=60,"B",X30&gt;=50,"C",X30&gt;=45,"D",X30&gt;=40,"E",X30&lt;40,"F")</f>
        <v>B</v>
      </c>
      <c r="Y31" s="50" t="str" cm="1">
        <f t="array" ref="Y31">_xlfn.IFS(Y30&gt;= 70,"A",Y30&gt;=60,"B",Y30&gt;=50,"C",Y30&gt;=45,"D",Y30&gt;=40,"E",Y30&lt;40,"F")</f>
        <v>B</v>
      </c>
      <c r="Z31" s="50" t="str" cm="1">
        <f t="array" ref="Z31">_xlfn.IFS(Z30&gt;= 70,"A",Z30&gt;=60,"B",Z30&gt;=50,"C",Z30&gt;=45,"D",Z30&gt;=40,"E",Z30&lt;40,"F")</f>
        <v>B</v>
      </c>
      <c r="AA31" s="50" t="str" cm="1">
        <f t="array" ref="AA31">_xlfn.IFS(AA30&gt;= 70,"A",AA30&gt;=60,"B",AA30&gt;=50,"C",AA30&gt;=45,"D",AA30&gt;=40,"E",AA30&lt;40,"F")</f>
        <v>B</v>
      </c>
      <c r="AB31" s="50" t="str" cm="1">
        <f t="array" ref="AB31">_xlfn.IFS(AB30&gt;= 70,"A",AB30&gt;=60,"B",AB30&gt;=50,"C",AB30&gt;=45,"D",AB30&gt;=40,"E",AB30&lt;40,"F")</f>
        <v>B</v>
      </c>
      <c r="AC31" s="50" t="str" cm="1">
        <f t="array" ref="AC31">_xlfn.IFS(AC30&gt;= 70,"A",AC30&gt;=60,"B",AC30&gt;=50,"C",AC30&gt;=45,"D",AC30&gt;=40,"E",AC30&lt;40,"F")</f>
        <v>B</v>
      </c>
      <c r="AD31" s="50" t="str" cm="1">
        <f t="array" ref="AD31">_xlfn.IFS(AD30&gt;= 70,"A",AD30&gt;=60,"B",AD30&gt;=50,"C",AD30&gt;=45,"D",AD30&gt;=40,"E",AD30&lt;40,"F")</f>
        <v>B</v>
      </c>
      <c r="AE31" s="50" t="str" cm="1">
        <f t="array" ref="AE31">_xlfn.IFS(AE30&gt;= 70,"A",AE30&gt;=60,"B",AE30&gt;=50,"C",AE30&gt;=45,"D",AE30&gt;=40,"E",AE30&lt;40,"F")</f>
        <v>B</v>
      </c>
      <c r="AF31" s="50" t="str" cm="1">
        <f t="array" ref="AF31">_xlfn.IFS(AF30&gt;= 70,"A",AF30&gt;=60,"B",AF30&gt;=50,"C",AF30&gt;=45,"D",AF30&gt;=40,"E",AF30&lt;40,"F")</f>
        <v>B</v>
      </c>
      <c r="AG31" s="7"/>
      <c r="AH31" s="48" t="str" cm="1">
        <f t="array" ref="AH31">_xlfn.IFS(AG31&gt;= 70,"A",AG31&gt;=60,"B",AG31&gt;=50,"C",AG31&gt;=45,"D",AG31&gt;=40,"E",AG31&lt;40,"F")</f>
        <v>F</v>
      </c>
      <c r="AI31" s="7"/>
      <c r="AJ31" s="48" t="str" cm="1">
        <f t="array" ref="AJ31">_xlfn.IFS(AI31&gt;= 70,"A",AI31&gt;=60,"B",AI31&gt;=50,"C",AI31&gt;=45,"D",AI31&gt;=40,"E",AI31&lt;40,"F")</f>
        <v>F</v>
      </c>
      <c r="AK31" s="7"/>
      <c r="AL31" s="48" t="str" cm="1">
        <f t="array" ref="AL31">_xlfn.IFS(AK31&gt;= 70,"A",AK31&gt;=60,"B",AK31&gt;=50,"C",AK31&gt;=45,"D",AK31&gt;=40,"E",AK31&lt;40,"F")</f>
        <v>F</v>
      </c>
      <c r="AM31" s="56">
        <f t="shared" ref="AM31" si="45">SUMIFS($I$4:$W$4,I30:W30,"&gt;0")</f>
        <v>23</v>
      </c>
      <c r="AN31" s="47">
        <f t="shared" ref="AN31" si="46">(SUMIFS($I$4:$W$4,I30:W30,"&gt;0")-SUMIFS($I$4:$W$4,I31:W31,"F"))</f>
        <v>23</v>
      </c>
      <c r="AO31" s="56">
        <f t="shared" ref="AO31" si="47">SUMIFS($I$4:$W$4,I31:W31,"F")</f>
        <v>0</v>
      </c>
      <c r="AP31" s="76"/>
      <c r="AQ31" s="74"/>
      <c r="AR31" s="71"/>
    </row>
    <row r="32" spans="1:44" ht="30" customHeight="1" thickTop="1" x14ac:dyDescent="0.3">
      <c r="A32" s="98">
        <v>14</v>
      </c>
      <c r="B32" s="77"/>
      <c r="C32" s="75"/>
      <c r="D32" s="84"/>
      <c r="E32" s="84"/>
      <c r="F32" s="84"/>
      <c r="G32" s="84"/>
      <c r="H32" s="84"/>
      <c r="I32" s="49">
        <v>45</v>
      </c>
      <c r="J32" s="49">
        <v>46</v>
      </c>
      <c r="K32" s="49">
        <v>47</v>
      </c>
      <c r="L32" s="49">
        <v>48</v>
      </c>
      <c r="M32" s="49">
        <v>49</v>
      </c>
      <c r="N32" s="49">
        <v>50</v>
      </c>
      <c r="O32" s="49">
        <v>51</v>
      </c>
      <c r="P32" s="49">
        <v>52</v>
      </c>
      <c r="Q32" s="49">
        <v>53</v>
      </c>
      <c r="R32" s="49">
        <v>54</v>
      </c>
      <c r="S32" s="49">
        <v>55</v>
      </c>
      <c r="T32" s="49">
        <v>56</v>
      </c>
      <c r="U32" s="49">
        <v>57</v>
      </c>
      <c r="V32" s="49">
        <v>70</v>
      </c>
      <c r="W32" s="49">
        <v>59</v>
      </c>
      <c r="X32" s="49">
        <v>60</v>
      </c>
      <c r="Y32" s="49">
        <v>61</v>
      </c>
      <c r="Z32" s="49">
        <v>62</v>
      </c>
      <c r="AA32" s="49">
        <v>63</v>
      </c>
      <c r="AB32" s="49">
        <v>64</v>
      </c>
      <c r="AC32" s="49">
        <v>65</v>
      </c>
      <c r="AD32" s="49">
        <v>66</v>
      </c>
      <c r="AE32" s="49">
        <v>67</v>
      </c>
      <c r="AF32" s="49">
        <v>68</v>
      </c>
      <c r="AG32" s="7"/>
      <c r="AH32" s="48" t="str" cm="1">
        <f t="array" ref="AH32">_xlfn.IFS(AG32&gt;= 70,"A",AG32&gt;=60,"B",AG32&gt;=50,"C",AG32&gt;=45,"D",AG32&gt;=40,"E",AG32&lt;40,"F")</f>
        <v>F</v>
      </c>
      <c r="AI32" s="7"/>
      <c r="AJ32" s="48" t="str" cm="1">
        <f t="array" ref="AJ32">_xlfn.IFS(AI32&gt;= 70,"A",AI32&gt;=60,"B",AI32&gt;=50,"C",AI32&gt;=45,"D",AI32&gt;=40,"E",AI32&lt;40,"F")</f>
        <v>F</v>
      </c>
      <c r="AK32" s="7"/>
      <c r="AL32" s="48" t="str" cm="1">
        <f t="array" ref="AL32">_xlfn.IFS(AK32&gt;= 70,"A",AK32&gt;=60,"B",AK32&gt;=50,"C",AK32&gt;=45,"D",AK32&gt;=40,"E",AK32&lt;40,"F")</f>
        <v>F</v>
      </c>
      <c r="AM32" s="59"/>
      <c r="AN32" s="46"/>
      <c r="AO32" s="59"/>
      <c r="AP32" s="75" cm="1">
        <f t="array" ref="AP32">SUM(VLOOKUP(I33:W33,GRADEPOINT!$A$2:$B$7,2,0)*$I$4:$W$4)</f>
        <v>63</v>
      </c>
      <c r="AQ32" s="73">
        <f t="shared" ref="AQ32" si="48">ROUND(AP32/AM33,2)</f>
        <v>2.74</v>
      </c>
      <c r="AR32" s="72"/>
    </row>
    <row r="33" spans="1:44" ht="30" customHeight="1" thickBot="1" x14ac:dyDescent="0.35">
      <c r="A33" s="99"/>
      <c r="B33" s="83"/>
      <c r="C33" s="95"/>
      <c r="D33" s="96"/>
      <c r="E33" s="96"/>
      <c r="F33" s="96"/>
      <c r="G33" s="96"/>
      <c r="H33" s="96"/>
      <c r="I33" s="50" t="str" cm="1">
        <f t="array" ref="I33">_xlfn.IFS(I32&gt;= 70,"A",I32&gt;=60,"B",I32&gt;=50,"C",I32&gt;=45,"D",I32&gt;=40,"E",I32&lt;40,"F")</f>
        <v>D</v>
      </c>
      <c r="J33" s="50" t="str" cm="1">
        <f t="array" ref="J33">_xlfn.IFS(J32&gt;= 70,"A",J32&gt;=60,"B",J32&gt;=50,"C",J32&gt;=45,"D",J32&gt;=40,"E",J32&lt;40,"F")</f>
        <v>D</v>
      </c>
      <c r="K33" s="50" t="str" cm="1">
        <f t="array" ref="K33">_xlfn.IFS(K32&gt;= 70,"A",K32&gt;=60,"B",K32&gt;=50,"C",K32&gt;=45,"D",K32&gt;=40,"E",K32&lt;40,"F")</f>
        <v>D</v>
      </c>
      <c r="L33" s="50" t="str" cm="1">
        <f t="array" ref="L33">_xlfn.IFS(L32&gt;= 70,"A",L32&gt;=60,"B",L32&gt;=50,"C",L32&gt;=45,"D",L32&gt;=40,"E",L32&lt;40,"F")</f>
        <v>D</v>
      </c>
      <c r="M33" s="50" t="str" cm="1">
        <f t="array" ref="M33">_xlfn.IFS(M32&gt;= 70,"A",M32&gt;=60,"B",M32&gt;=50,"C",M32&gt;=45,"D",M32&gt;=40,"E",M32&lt;40,"F")</f>
        <v>D</v>
      </c>
      <c r="N33" s="50" t="str" cm="1">
        <f t="array" ref="N33">_xlfn.IFS(N32&gt;= 70,"A",N32&gt;=60,"B",N32&gt;=50,"C",N32&gt;=45,"D",N32&gt;=40,"E",N32&lt;40,"F")</f>
        <v>C</v>
      </c>
      <c r="O33" s="50" t="str" cm="1">
        <f t="array" ref="O33">_xlfn.IFS(O32&gt;= 70,"A",O32&gt;=60,"B",O32&gt;=50,"C",O32&gt;=45,"D",O32&gt;=40,"E",O32&lt;40,"F")</f>
        <v>C</v>
      </c>
      <c r="P33" s="50" t="str" cm="1">
        <f t="array" ref="P33">_xlfn.IFS(P32&gt;= 70,"A",P32&gt;=60,"B",P32&gt;=50,"C",P32&gt;=45,"D",P32&gt;=40,"E",P32&lt;40,"F")</f>
        <v>C</v>
      </c>
      <c r="Q33" s="50" t="str" cm="1">
        <f t="array" ref="Q33">_xlfn.IFS(Q32&gt;= 70,"A",Q32&gt;=60,"B",Q32&gt;=50,"C",Q32&gt;=45,"D",Q32&gt;=40,"E",Q32&lt;40,"F")</f>
        <v>C</v>
      </c>
      <c r="R33" s="50" t="str" cm="1">
        <f t="array" ref="R33">_xlfn.IFS(R32&gt;= 70,"A",R32&gt;=60,"B",R32&gt;=50,"C",R32&gt;=45,"D",R32&gt;=40,"E",R32&lt;40,"F")</f>
        <v>C</v>
      </c>
      <c r="S33" s="50" t="str" cm="1">
        <f t="array" ref="S33">_xlfn.IFS(S32&gt;= 70,"A",S32&gt;=60,"B",S32&gt;=50,"C",S32&gt;=45,"D",S32&gt;=40,"E",S32&lt;40,"F")</f>
        <v>C</v>
      </c>
      <c r="T33" s="50" t="str" cm="1">
        <f t="array" ref="T33">_xlfn.IFS(T32&gt;= 70,"A",T32&gt;=60,"B",T32&gt;=50,"C",T32&gt;=45,"D",T32&gt;=40,"E",T32&lt;40,"F")</f>
        <v>C</v>
      </c>
      <c r="U33" s="50" t="str" cm="1">
        <f t="array" ref="U33">_xlfn.IFS(U32&gt;= 70,"A",U32&gt;=60,"B",U32&gt;=50,"C",U32&gt;=45,"D",U32&gt;=40,"E",U32&lt;40,"F")</f>
        <v>C</v>
      </c>
      <c r="V33" s="50" t="str" cm="1">
        <f t="array" ref="V33">_xlfn.IFS(V32&gt;= 70,"A",V32&gt;=60,"B",V32&gt;=50,"C",V32&gt;=45,"D",V32&gt;=40,"E",V32&lt;40,"F")</f>
        <v>A</v>
      </c>
      <c r="W33" s="50" t="str" cm="1">
        <f t="array" ref="W33">_xlfn.IFS(W32&gt;= 70,"A",W32&gt;=60,"B",W32&gt;=50,"C",W32&gt;=45,"D",W32&gt;=40,"E",W32&lt;40,"F")</f>
        <v>C</v>
      </c>
      <c r="X33" s="50" t="str" cm="1">
        <f t="array" ref="X33">_xlfn.IFS(X32&gt;= 70,"A",X32&gt;=60,"B",X32&gt;=50,"C",X32&gt;=45,"D",X32&gt;=40,"E",X32&lt;40,"F")</f>
        <v>B</v>
      </c>
      <c r="Y33" s="50" t="str" cm="1">
        <f t="array" ref="Y33">_xlfn.IFS(Y32&gt;= 70,"A",Y32&gt;=60,"B",Y32&gt;=50,"C",Y32&gt;=45,"D",Y32&gt;=40,"E",Y32&lt;40,"F")</f>
        <v>B</v>
      </c>
      <c r="Z33" s="50" t="str" cm="1">
        <f t="array" ref="Z33">_xlfn.IFS(Z32&gt;= 70,"A",Z32&gt;=60,"B",Z32&gt;=50,"C",Z32&gt;=45,"D",Z32&gt;=40,"E",Z32&lt;40,"F")</f>
        <v>B</v>
      </c>
      <c r="AA33" s="50" t="str" cm="1">
        <f t="array" ref="AA33">_xlfn.IFS(AA32&gt;= 70,"A",AA32&gt;=60,"B",AA32&gt;=50,"C",AA32&gt;=45,"D",AA32&gt;=40,"E",AA32&lt;40,"F")</f>
        <v>B</v>
      </c>
      <c r="AB33" s="50" t="str" cm="1">
        <f t="array" ref="AB33">_xlfn.IFS(AB32&gt;= 70,"A",AB32&gt;=60,"B",AB32&gt;=50,"C",AB32&gt;=45,"D",AB32&gt;=40,"E",AB32&lt;40,"F")</f>
        <v>B</v>
      </c>
      <c r="AC33" s="50" t="str" cm="1">
        <f t="array" ref="AC33">_xlfn.IFS(AC32&gt;= 70,"A",AC32&gt;=60,"B",AC32&gt;=50,"C",AC32&gt;=45,"D",AC32&gt;=40,"E",AC32&lt;40,"F")</f>
        <v>B</v>
      </c>
      <c r="AD33" s="50" t="str" cm="1">
        <f t="array" ref="AD33">_xlfn.IFS(AD32&gt;= 70,"A",AD32&gt;=60,"B",AD32&gt;=50,"C",AD32&gt;=45,"D",AD32&gt;=40,"E",AD32&lt;40,"F")</f>
        <v>B</v>
      </c>
      <c r="AE33" s="50" t="str" cm="1">
        <f t="array" ref="AE33">_xlfn.IFS(AE32&gt;= 70,"A",AE32&gt;=60,"B",AE32&gt;=50,"C",AE32&gt;=45,"D",AE32&gt;=40,"E",AE32&lt;40,"F")</f>
        <v>B</v>
      </c>
      <c r="AF33" s="50" t="str" cm="1">
        <f t="array" ref="AF33">_xlfn.IFS(AF32&gt;= 70,"A",AF32&gt;=60,"B",AF32&gt;=50,"C",AF32&gt;=45,"D",AF32&gt;=40,"E",AF32&lt;40,"F")</f>
        <v>B</v>
      </c>
      <c r="AG33" s="7"/>
      <c r="AH33" s="48" t="str" cm="1">
        <f t="array" ref="AH33">_xlfn.IFS(AG33&gt;= 70,"A",AG33&gt;=60,"B",AG33&gt;=50,"C",AG33&gt;=45,"D",AG33&gt;=40,"E",AG33&lt;40,"F")</f>
        <v>F</v>
      </c>
      <c r="AI33" s="7"/>
      <c r="AJ33" s="48" t="str" cm="1">
        <f t="array" ref="AJ33">_xlfn.IFS(AI33&gt;= 70,"A",AI33&gt;=60,"B",AI33&gt;=50,"C",AI33&gt;=45,"D",AI33&gt;=40,"E",AI33&lt;40,"F")</f>
        <v>F</v>
      </c>
      <c r="AK33" s="7"/>
      <c r="AL33" s="48" t="str" cm="1">
        <f t="array" ref="AL33">_xlfn.IFS(AK33&gt;= 70,"A",AK33&gt;=60,"B",AK33&gt;=50,"C",AK33&gt;=45,"D",AK33&gt;=40,"E",AK33&lt;40,"F")</f>
        <v>F</v>
      </c>
      <c r="AM33" s="56">
        <f t="shared" ref="AM33" si="49">SUMIFS($I$4:$W$4,I32:W32,"&gt;0")</f>
        <v>23</v>
      </c>
      <c r="AN33" s="47">
        <f t="shared" ref="AN33" si="50">(SUMIFS($I$4:$W$4,I32:W32,"&gt;0")-SUMIFS($I$4:$W$4,I33:W33,"F"))</f>
        <v>23</v>
      </c>
      <c r="AO33" s="56">
        <f t="shared" ref="AO33" si="51">SUMIFS($I$4:$W$4,I33:W33,"F")</f>
        <v>0</v>
      </c>
      <c r="AP33" s="76"/>
      <c r="AQ33" s="74"/>
      <c r="AR33" s="71"/>
    </row>
    <row r="34" spans="1:44" ht="30" customHeight="1" thickTop="1" x14ac:dyDescent="0.3">
      <c r="A34" s="98">
        <v>15</v>
      </c>
      <c r="B34" s="77"/>
      <c r="C34" s="75"/>
      <c r="D34" s="84"/>
      <c r="E34" s="84"/>
      <c r="F34" s="84"/>
      <c r="G34" s="84"/>
      <c r="H34" s="84"/>
      <c r="I34" s="49">
        <v>45</v>
      </c>
      <c r="J34" s="49">
        <v>46</v>
      </c>
      <c r="K34" s="49">
        <v>47</v>
      </c>
      <c r="L34" s="49">
        <v>48</v>
      </c>
      <c r="M34" s="49">
        <v>49</v>
      </c>
      <c r="N34" s="49">
        <v>50</v>
      </c>
      <c r="O34" s="49">
        <v>51</v>
      </c>
      <c r="P34" s="49">
        <v>52</v>
      </c>
      <c r="Q34" s="49">
        <v>53</v>
      </c>
      <c r="R34" s="49">
        <v>54</v>
      </c>
      <c r="S34" s="49">
        <v>55</v>
      </c>
      <c r="T34" s="49">
        <v>56</v>
      </c>
      <c r="U34" s="49">
        <v>57</v>
      </c>
      <c r="V34" s="49">
        <v>58</v>
      </c>
      <c r="W34" s="49">
        <v>59</v>
      </c>
      <c r="X34" s="49">
        <v>60</v>
      </c>
      <c r="Y34" s="49">
        <v>61</v>
      </c>
      <c r="Z34" s="49">
        <v>62</v>
      </c>
      <c r="AA34" s="49">
        <v>63</v>
      </c>
      <c r="AB34" s="49">
        <v>64</v>
      </c>
      <c r="AC34" s="49">
        <v>65</v>
      </c>
      <c r="AD34" s="49">
        <v>66</v>
      </c>
      <c r="AE34" s="49">
        <v>67</v>
      </c>
      <c r="AF34" s="49">
        <v>68</v>
      </c>
      <c r="AG34" s="7"/>
      <c r="AH34" s="48" t="str" cm="1">
        <f t="array" ref="AH34">_xlfn.IFS(AG34&gt;= 70,"A",AG34&gt;=60,"B",AG34&gt;=50,"C",AG34&gt;=45,"D",AG34&gt;=40,"E",AG34&lt;40,"F")</f>
        <v>F</v>
      </c>
      <c r="AI34" s="7"/>
      <c r="AJ34" s="48" t="str" cm="1">
        <f t="array" ref="AJ34">_xlfn.IFS(AI34&gt;= 70,"A",AI34&gt;=60,"B",AI34&gt;=50,"C",AI34&gt;=45,"D",AI34&gt;=40,"E",AI34&lt;40,"F")</f>
        <v>F</v>
      </c>
      <c r="AK34" s="7"/>
      <c r="AL34" s="48" t="str" cm="1">
        <f t="array" ref="AL34">_xlfn.IFS(AK34&gt;= 70,"A",AK34&gt;=60,"B",AK34&gt;=50,"C",AK34&gt;=45,"D",AK34&gt;=40,"E",AK34&lt;40,"F")</f>
        <v>F</v>
      </c>
      <c r="AM34" s="59"/>
      <c r="AN34" s="46"/>
      <c r="AO34" s="59"/>
      <c r="AP34" s="75" cm="1">
        <f t="array" ref="AP34">SUM(VLOOKUP(I35:W35,GRADEPOINT!$A$2:$B$7,2,0)*$I$4:$W$4)</f>
        <v>61</v>
      </c>
      <c r="AQ34" s="73">
        <f t="shared" ref="AQ34" si="52">ROUND(AP34/AM35,2)</f>
        <v>2.65</v>
      </c>
      <c r="AR34" s="72"/>
    </row>
    <row r="35" spans="1:44" ht="30" customHeight="1" thickBot="1" x14ac:dyDescent="0.35">
      <c r="A35" s="99"/>
      <c r="B35" s="83"/>
      <c r="C35" s="95"/>
      <c r="D35" s="96"/>
      <c r="E35" s="96"/>
      <c r="F35" s="96"/>
      <c r="G35" s="96"/>
      <c r="H35" s="96"/>
      <c r="I35" s="50" t="str" cm="1">
        <f t="array" ref="I35">_xlfn.IFS(I34&gt;= 70,"A",I34&gt;=60,"B",I34&gt;=50,"C",I34&gt;=45,"D",I34&gt;=40,"E",I34&lt;40,"F")</f>
        <v>D</v>
      </c>
      <c r="J35" s="50" t="str" cm="1">
        <f t="array" ref="J35">_xlfn.IFS(J34&gt;= 70,"A",J34&gt;=60,"B",J34&gt;=50,"C",J34&gt;=45,"D",J34&gt;=40,"E",J34&lt;40,"F")</f>
        <v>D</v>
      </c>
      <c r="K35" s="50" t="str" cm="1">
        <f t="array" ref="K35">_xlfn.IFS(K34&gt;= 70,"A",K34&gt;=60,"B",K34&gt;=50,"C",K34&gt;=45,"D",K34&gt;=40,"E",K34&lt;40,"F")</f>
        <v>D</v>
      </c>
      <c r="L35" s="50" t="str" cm="1">
        <f t="array" ref="L35">_xlfn.IFS(L34&gt;= 70,"A",L34&gt;=60,"B",L34&gt;=50,"C",L34&gt;=45,"D",L34&gt;=40,"E",L34&lt;40,"F")</f>
        <v>D</v>
      </c>
      <c r="M35" s="50" t="str" cm="1">
        <f t="array" ref="M35">_xlfn.IFS(M34&gt;= 70,"A",M34&gt;=60,"B",M34&gt;=50,"C",M34&gt;=45,"D",M34&gt;=40,"E",M34&lt;40,"F")</f>
        <v>D</v>
      </c>
      <c r="N35" s="50" t="str" cm="1">
        <f t="array" ref="N35">_xlfn.IFS(N34&gt;= 70,"A",N34&gt;=60,"B",N34&gt;=50,"C",N34&gt;=45,"D",N34&gt;=40,"E",N34&lt;40,"F")</f>
        <v>C</v>
      </c>
      <c r="O35" s="50" t="str" cm="1">
        <f t="array" ref="O35">_xlfn.IFS(O34&gt;= 70,"A",O34&gt;=60,"B",O34&gt;=50,"C",O34&gt;=45,"D",O34&gt;=40,"E",O34&lt;40,"F")</f>
        <v>C</v>
      </c>
      <c r="P35" s="50" t="str" cm="1">
        <f t="array" ref="P35">_xlfn.IFS(P34&gt;= 70,"A",P34&gt;=60,"B",P34&gt;=50,"C",P34&gt;=45,"D",P34&gt;=40,"E",P34&lt;40,"F")</f>
        <v>C</v>
      </c>
      <c r="Q35" s="50" t="str" cm="1">
        <f t="array" ref="Q35">_xlfn.IFS(Q34&gt;= 70,"A",Q34&gt;=60,"B",Q34&gt;=50,"C",Q34&gt;=45,"D",Q34&gt;=40,"E",Q34&lt;40,"F")</f>
        <v>C</v>
      </c>
      <c r="R35" s="50" t="str" cm="1">
        <f t="array" ref="R35">_xlfn.IFS(R34&gt;= 70,"A",R34&gt;=60,"B",R34&gt;=50,"C",R34&gt;=45,"D",R34&gt;=40,"E",R34&lt;40,"F")</f>
        <v>C</v>
      </c>
      <c r="S35" s="50" t="str" cm="1">
        <f t="array" ref="S35">_xlfn.IFS(S34&gt;= 70,"A",S34&gt;=60,"B",S34&gt;=50,"C",S34&gt;=45,"D",S34&gt;=40,"E",S34&lt;40,"F")</f>
        <v>C</v>
      </c>
      <c r="T35" s="50" t="str" cm="1">
        <f t="array" ref="T35">_xlfn.IFS(T34&gt;= 70,"A",T34&gt;=60,"B",T34&gt;=50,"C",T34&gt;=45,"D",T34&gt;=40,"E",T34&lt;40,"F")</f>
        <v>C</v>
      </c>
      <c r="U35" s="50" t="str" cm="1">
        <f t="array" ref="U35">_xlfn.IFS(U34&gt;= 70,"A",U34&gt;=60,"B",U34&gt;=50,"C",U34&gt;=45,"D",U34&gt;=40,"E",U34&lt;40,"F")</f>
        <v>C</v>
      </c>
      <c r="V35" s="50" t="str" cm="1">
        <f t="array" ref="V35">_xlfn.IFS(V34&gt;= 70,"A",V34&gt;=60,"B",V34&gt;=50,"C",V34&gt;=45,"D",V34&gt;=40,"E",V34&lt;40,"F")</f>
        <v>C</v>
      </c>
      <c r="W35" s="50" t="str" cm="1">
        <f t="array" ref="W35">_xlfn.IFS(W34&gt;= 70,"A",W34&gt;=60,"B",W34&gt;=50,"C",W34&gt;=45,"D",W34&gt;=40,"E",W34&lt;40,"F")</f>
        <v>C</v>
      </c>
      <c r="X35" s="50" t="str" cm="1">
        <f t="array" ref="X35">_xlfn.IFS(X34&gt;= 70,"A",X34&gt;=60,"B",X34&gt;=50,"C",X34&gt;=45,"D",X34&gt;=40,"E",X34&lt;40,"F")</f>
        <v>B</v>
      </c>
      <c r="Y35" s="50" t="str" cm="1">
        <f t="array" ref="Y35">_xlfn.IFS(Y34&gt;= 70,"A",Y34&gt;=60,"B",Y34&gt;=50,"C",Y34&gt;=45,"D",Y34&gt;=40,"E",Y34&lt;40,"F")</f>
        <v>B</v>
      </c>
      <c r="Z35" s="50" t="str" cm="1">
        <f t="array" ref="Z35">_xlfn.IFS(Z34&gt;= 70,"A",Z34&gt;=60,"B",Z34&gt;=50,"C",Z34&gt;=45,"D",Z34&gt;=40,"E",Z34&lt;40,"F")</f>
        <v>B</v>
      </c>
      <c r="AA35" s="50" t="str" cm="1">
        <f t="array" ref="AA35">_xlfn.IFS(AA34&gt;= 70,"A",AA34&gt;=60,"B",AA34&gt;=50,"C",AA34&gt;=45,"D",AA34&gt;=40,"E",AA34&lt;40,"F")</f>
        <v>B</v>
      </c>
      <c r="AB35" s="50" t="str" cm="1">
        <f t="array" ref="AB35">_xlfn.IFS(AB34&gt;= 70,"A",AB34&gt;=60,"B",AB34&gt;=50,"C",AB34&gt;=45,"D",AB34&gt;=40,"E",AB34&lt;40,"F")</f>
        <v>B</v>
      </c>
      <c r="AC35" s="50" t="str" cm="1">
        <f t="array" ref="AC35">_xlfn.IFS(AC34&gt;= 70,"A",AC34&gt;=60,"B",AC34&gt;=50,"C",AC34&gt;=45,"D",AC34&gt;=40,"E",AC34&lt;40,"F")</f>
        <v>B</v>
      </c>
      <c r="AD35" s="50" t="str" cm="1">
        <f t="array" ref="AD35">_xlfn.IFS(AD34&gt;= 70,"A",AD34&gt;=60,"B",AD34&gt;=50,"C",AD34&gt;=45,"D",AD34&gt;=40,"E",AD34&lt;40,"F")</f>
        <v>B</v>
      </c>
      <c r="AE35" s="50" t="str" cm="1">
        <f t="array" ref="AE35">_xlfn.IFS(AE34&gt;= 70,"A",AE34&gt;=60,"B",AE34&gt;=50,"C",AE34&gt;=45,"D",AE34&gt;=40,"E",AE34&lt;40,"F")</f>
        <v>B</v>
      </c>
      <c r="AF35" s="50" t="str" cm="1">
        <f t="array" ref="AF35">_xlfn.IFS(AF34&gt;= 70,"A",AF34&gt;=60,"B",AF34&gt;=50,"C",AF34&gt;=45,"D",AF34&gt;=40,"E",AF34&lt;40,"F")</f>
        <v>B</v>
      </c>
      <c r="AG35" s="7"/>
      <c r="AH35" s="48" t="str" cm="1">
        <f t="array" ref="AH35">_xlfn.IFS(AG35&gt;= 70,"A",AG35&gt;=60,"B",AG35&gt;=50,"C",AG35&gt;=45,"D",AG35&gt;=40,"E",AG35&lt;40,"F")</f>
        <v>F</v>
      </c>
      <c r="AI35" s="7"/>
      <c r="AJ35" s="48" t="str" cm="1">
        <f t="array" ref="AJ35">_xlfn.IFS(AI35&gt;= 70,"A",AI35&gt;=60,"B",AI35&gt;=50,"C",AI35&gt;=45,"D",AI35&gt;=40,"E",AI35&lt;40,"F")</f>
        <v>F</v>
      </c>
      <c r="AK35" s="7"/>
      <c r="AL35" s="48" t="str" cm="1">
        <f t="array" ref="AL35">_xlfn.IFS(AK35&gt;= 70,"A",AK35&gt;=60,"B",AK35&gt;=50,"C",AK35&gt;=45,"D",AK35&gt;=40,"E",AK35&lt;40,"F")</f>
        <v>F</v>
      </c>
      <c r="AM35" s="56">
        <f t="shared" ref="AM35" si="53">SUMIFS($I$4:$W$4,I34:W34,"&gt;0")</f>
        <v>23</v>
      </c>
      <c r="AN35" s="47">
        <f t="shared" ref="AN35" si="54">(SUMIFS($I$4:$W$4,I34:W34,"&gt;0")-SUMIFS($I$4:$W$4,I35:W35,"F"))</f>
        <v>23</v>
      </c>
      <c r="AO35" s="56">
        <f t="shared" ref="AO35" si="55">SUMIFS($I$4:$W$4,I35:W35,"F")</f>
        <v>0</v>
      </c>
      <c r="AP35" s="76"/>
      <c r="AQ35" s="74"/>
      <c r="AR35" s="71"/>
    </row>
    <row r="36" spans="1:44" ht="30" customHeight="1" thickTop="1" x14ac:dyDescent="0.3">
      <c r="A36" s="98">
        <v>16</v>
      </c>
      <c r="B36" s="77"/>
      <c r="C36" s="75"/>
      <c r="D36" s="84"/>
      <c r="E36" s="84"/>
      <c r="F36" s="84"/>
      <c r="G36" s="84"/>
      <c r="H36" s="84"/>
      <c r="I36" s="49">
        <v>45</v>
      </c>
      <c r="J36" s="49">
        <v>46</v>
      </c>
      <c r="K36" s="49">
        <v>47</v>
      </c>
      <c r="L36" s="49">
        <v>48</v>
      </c>
      <c r="M36" s="49">
        <v>49</v>
      </c>
      <c r="N36" s="49">
        <v>50</v>
      </c>
      <c r="O36" s="49">
        <v>51</v>
      </c>
      <c r="P36" s="49">
        <v>52</v>
      </c>
      <c r="Q36" s="49">
        <v>53</v>
      </c>
      <c r="R36" s="49">
        <v>54</v>
      </c>
      <c r="S36" s="49">
        <v>55</v>
      </c>
      <c r="T36" s="49">
        <v>56</v>
      </c>
      <c r="U36" s="49">
        <v>57</v>
      </c>
      <c r="V36" s="49">
        <v>58</v>
      </c>
      <c r="W36" s="49">
        <v>59</v>
      </c>
      <c r="X36" s="49">
        <v>60</v>
      </c>
      <c r="Y36" s="49">
        <v>61</v>
      </c>
      <c r="Z36" s="49">
        <v>62</v>
      </c>
      <c r="AA36" s="49">
        <v>63</v>
      </c>
      <c r="AB36" s="49">
        <v>64</v>
      </c>
      <c r="AC36" s="49">
        <v>65</v>
      </c>
      <c r="AD36" s="49">
        <v>66</v>
      </c>
      <c r="AE36" s="49">
        <v>67</v>
      </c>
      <c r="AF36" s="49">
        <v>68</v>
      </c>
      <c r="AG36" s="7"/>
      <c r="AH36" s="48" t="str" cm="1">
        <f t="array" ref="AH36">_xlfn.IFS(AG36&gt;= 70,"A",AG36&gt;=60,"B",AG36&gt;=50,"C",AG36&gt;=45,"D",AG36&gt;=40,"E",AG36&lt;40,"F")</f>
        <v>F</v>
      </c>
      <c r="AI36" s="7"/>
      <c r="AJ36" s="48" t="str" cm="1">
        <f t="array" ref="AJ36">_xlfn.IFS(AI36&gt;= 70,"A",AI36&gt;=60,"B",AI36&gt;=50,"C",AI36&gt;=45,"D",AI36&gt;=40,"E",AI36&lt;40,"F")</f>
        <v>F</v>
      </c>
      <c r="AK36" s="7"/>
      <c r="AL36" s="48" t="str" cm="1">
        <f t="array" ref="AL36">_xlfn.IFS(AK36&gt;= 70,"A",AK36&gt;=60,"B",AK36&gt;=50,"C",AK36&gt;=45,"D",AK36&gt;=40,"E",AK36&lt;40,"F")</f>
        <v>F</v>
      </c>
      <c r="AM36" s="59"/>
      <c r="AN36" s="46"/>
      <c r="AO36" s="59"/>
      <c r="AP36" s="75" cm="1">
        <f t="array" ref="AP36">SUM(VLOOKUP(I37:W37,GRADEPOINT!$A$2:$B$7,2,0)*$I$4:$W$4)</f>
        <v>61</v>
      </c>
      <c r="AQ36" s="73">
        <f t="shared" ref="AQ36" si="56">ROUND(AP36/AM37,2)</f>
        <v>2.65</v>
      </c>
      <c r="AR36" s="72"/>
    </row>
    <row r="37" spans="1:44" ht="30" customHeight="1" thickBot="1" x14ac:dyDescent="0.35">
      <c r="A37" s="99"/>
      <c r="B37" s="83"/>
      <c r="C37" s="95"/>
      <c r="D37" s="96"/>
      <c r="E37" s="96"/>
      <c r="F37" s="96"/>
      <c r="G37" s="96"/>
      <c r="H37" s="96"/>
      <c r="I37" s="50" t="str" cm="1">
        <f t="array" ref="I37">_xlfn.IFS(I36&gt;= 70,"A",I36&gt;=60,"B",I36&gt;=50,"C",I36&gt;=45,"D",I36&gt;=40,"E",I36&lt;40,"F")</f>
        <v>D</v>
      </c>
      <c r="J37" s="50" t="str" cm="1">
        <f t="array" ref="J37">_xlfn.IFS(J36&gt;= 70,"A",J36&gt;=60,"B",J36&gt;=50,"C",J36&gt;=45,"D",J36&gt;=40,"E",J36&lt;40,"F")</f>
        <v>D</v>
      </c>
      <c r="K37" s="50" t="str" cm="1">
        <f t="array" ref="K37">_xlfn.IFS(K36&gt;= 70,"A",K36&gt;=60,"B",K36&gt;=50,"C",K36&gt;=45,"D",K36&gt;=40,"E",K36&lt;40,"F")</f>
        <v>D</v>
      </c>
      <c r="L37" s="50" t="str" cm="1">
        <f t="array" ref="L37">_xlfn.IFS(L36&gt;= 70,"A",L36&gt;=60,"B",L36&gt;=50,"C",L36&gt;=45,"D",L36&gt;=40,"E",L36&lt;40,"F")</f>
        <v>D</v>
      </c>
      <c r="M37" s="50" t="str" cm="1">
        <f t="array" ref="M37">_xlfn.IFS(M36&gt;= 70,"A",M36&gt;=60,"B",M36&gt;=50,"C",M36&gt;=45,"D",M36&gt;=40,"E",M36&lt;40,"F")</f>
        <v>D</v>
      </c>
      <c r="N37" s="50" t="str" cm="1">
        <f t="array" ref="N37">_xlfn.IFS(N36&gt;= 70,"A",N36&gt;=60,"B",N36&gt;=50,"C",N36&gt;=45,"D",N36&gt;=40,"E",N36&lt;40,"F")</f>
        <v>C</v>
      </c>
      <c r="O37" s="50" t="str" cm="1">
        <f t="array" ref="O37">_xlfn.IFS(O36&gt;= 70,"A",O36&gt;=60,"B",O36&gt;=50,"C",O36&gt;=45,"D",O36&gt;=40,"E",O36&lt;40,"F")</f>
        <v>C</v>
      </c>
      <c r="P37" s="50" t="str" cm="1">
        <f t="array" ref="P37">_xlfn.IFS(P36&gt;= 70,"A",P36&gt;=60,"B",P36&gt;=50,"C",P36&gt;=45,"D",P36&gt;=40,"E",P36&lt;40,"F")</f>
        <v>C</v>
      </c>
      <c r="Q37" s="50" t="str" cm="1">
        <f t="array" ref="Q37">_xlfn.IFS(Q36&gt;= 70,"A",Q36&gt;=60,"B",Q36&gt;=50,"C",Q36&gt;=45,"D",Q36&gt;=40,"E",Q36&lt;40,"F")</f>
        <v>C</v>
      </c>
      <c r="R37" s="50" t="str" cm="1">
        <f t="array" ref="R37">_xlfn.IFS(R36&gt;= 70,"A",R36&gt;=60,"B",R36&gt;=50,"C",R36&gt;=45,"D",R36&gt;=40,"E",R36&lt;40,"F")</f>
        <v>C</v>
      </c>
      <c r="S37" s="50" t="str" cm="1">
        <f t="array" ref="S37">_xlfn.IFS(S36&gt;= 70,"A",S36&gt;=60,"B",S36&gt;=50,"C",S36&gt;=45,"D",S36&gt;=40,"E",S36&lt;40,"F")</f>
        <v>C</v>
      </c>
      <c r="T37" s="50" t="str" cm="1">
        <f t="array" ref="T37">_xlfn.IFS(T36&gt;= 70,"A",T36&gt;=60,"B",T36&gt;=50,"C",T36&gt;=45,"D",T36&gt;=40,"E",T36&lt;40,"F")</f>
        <v>C</v>
      </c>
      <c r="U37" s="50" t="str" cm="1">
        <f t="array" ref="U37">_xlfn.IFS(U36&gt;= 70,"A",U36&gt;=60,"B",U36&gt;=50,"C",U36&gt;=45,"D",U36&gt;=40,"E",U36&lt;40,"F")</f>
        <v>C</v>
      </c>
      <c r="V37" s="50" t="str" cm="1">
        <f t="array" ref="V37">_xlfn.IFS(V36&gt;= 70,"A",V36&gt;=60,"B",V36&gt;=50,"C",V36&gt;=45,"D",V36&gt;=40,"E",V36&lt;40,"F")</f>
        <v>C</v>
      </c>
      <c r="W37" s="50" t="str" cm="1">
        <f t="array" ref="W37">_xlfn.IFS(W36&gt;= 70,"A",W36&gt;=60,"B",W36&gt;=50,"C",W36&gt;=45,"D",W36&gt;=40,"E",W36&lt;40,"F")</f>
        <v>C</v>
      </c>
      <c r="X37" s="50" t="str" cm="1">
        <f t="array" ref="X37">_xlfn.IFS(X36&gt;= 70,"A",X36&gt;=60,"B",X36&gt;=50,"C",X36&gt;=45,"D",X36&gt;=40,"E",X36&lt;40,"F")</f>
        <v>B</v>
      </c>
      <c r="Y37" s="50" t="str" cm="1">
        <f t="array" ref="Y37">_xlfn.IFS(Y36&gt;= 70,"A",Y36&gt;=60,"B",Y36&gt;=50,"C",Y36&gt;=45,"D",Y36&gt;=40,"E",Y36&lt;40,"F")</f>
        <v>B</v>
      </c>
      <c r="Z37" s="50" t="str" cm="1">
        <f t="array" ref="Z37">_xlfn.IFS(Z36&gt;= 70,"A",Z36&gt;=60,"B",Z36&gt;=50,"C",Z36&gt;=45,"D",Z36&gt;=40,"E",Z36&lt;40,"F")</f>
        <v>B</v>
      </c>
      <c r="AA37" s="50" t="str" cm="1">
        <f t="array" ref="AA37">_xlfn.IFS(AA36&gt;= 70,"A",AA36&gt;=60,"B",AA36&gt;=50,"C",AA36&gt;=45,"D",AA36&gt;=40,"E",AA36&lt;40,"F")</f>
        <v>B</v>
      </c>
      <c r="AB37" s="50" t="str" cm="1">
        <f t="array" ref="AB37">_xlfn.IFS(AB36&gt;= 70,"A",AB36&gt;=60,"B",AB36&gt;=50,"C",AB36&gt;=45,"D",AB36&gt;=40,"E",AB36&lt;40,"F")</f>
        <v>B</v>
      </c>
      <c r="AC37" s="50" t="str" cm="1">
        <f t="array" ref="AC37">_xlfn.IFS(AC36&gt;= 70,"A",AC36&gt;=60,"B",AC36&gt;=50,"C",AC36&gt;=45,"D",AC36&gt;=40,"E",AC36&lt;40,"F")</f>
        <v>B</v>
      </c>
      <c r="AD37" s="50" t="str" cm="1">
        <f t="array" ref="AD37">_xlfn.IFS(AD36&gt;= 70,"A",AD36&gt;=60,"B",AD36&gt;=50,"C",AD36&gt;=45,"D",AD36&gt;=40,"E",AD36&lt;40,"F")</f>
        <v>B</v>
      </c>
      <c r="AE37" s="50" t="str" cm="1">
        <f t="array" ref="AE37">_xlfn.IFS(AE36&gt;= 70,"A",AE36&gt;=60,"B",AE36&gt;=50,"C",AE36&gt;=45,"D",AE36&gt;=40,"E",AE36&lt;40,"F")</f>
        <v>B</v>
      </c>
      <c r="AF37" s="50" t="str" cm="1">
        <f t="array" ref="AF37">_xlfn.IFS(AF36&gt;= 70,"A",AF36&gt;=60,"B",AF36&gt;=50,"C",AF36&gt;=45,"D",AF36&gt;=40,"E",AF36&lt;40,"F")</f>
        <v>B</v>
      </c>
      <c r="AG37" s="7"/>
      <c r="AH37" s="48" t="str" cm="1">
        <f t="array" ref="AH37">_xlfn.IFS(AG37&gt;= 70,"A",AG37&gt;=60,"B",AG37&gt;=50,"C",AG37&gt;=45,"D",AG37&gt;=40,"E",AG37&lt;40,"F")</f>
        <v>F</v>
      </c>
      <c r="AI37" s="7"/>
      <c r="AJ37" s="48" t="str" cm="1">
        <f t="array" ref="AJ37">_xlfn.IFS(AI37&gt;= 70,"A",AI37&gt;=60,"B",AI37&gt;=50,"C",AI37&gt;=45,"D",AI37&gt;=40,"E",AI37&lt;40,"F")</f>
        <v>F</v>
      </c>
      <c r="AK37" s="7"/>
      <c r="AL37" s="48" t="str" cm="1">
        <f t="array" ref="AL37">_xlfn.IFS(AK37&gt;= 70,"A",AK37&gt;=60,"B",AK37&gt;=50,"C",AK37&gt;=45,"D",AK37&gt;=40,"E",AK37&lt;40,"F")</f>
        <v>F</v>
      </c>
      <c r="AM37" s="56">
        <f t="shared" ref="AM37" si="57">SUMIFS($I$4:$W$4,I36:W36,"&gt;0")</f>
        <v>23</v>
      </c>
      <c r="AN37" s="47">
        <f t="shared" ref="AN37" si="58">(SUMIFS($I$4:$W$4,I36:W36,"&gt;0")-SUMIFS($I$4:$W$4,I37:W37,"F"))</f>
        <v>23</v>
      </c>
      <c r="AO37" s="56">
        <f t="shared" ref="AO37" si="59">SUMIFS($I$4:$W$4,I37:W37,"F")</f>
        <v>0</v>
      </c>
      <c r="AP37" s="76"/>
      <c r="AQ37" s="74"/>
      <c r="AR37" s="71"/>
    </row>
    <row r="38" spans="1:44" ht="30" customHeight="1" thickTop="1" x14ac:dyDescent="0.3">
      <c r="A38" s="98">
        <v>17</v>
      </c>
      <c r="B38" s="77"/>
      <c r="C38" s="75"/>
      <c r="D38" s="84"/>
      <c r="E38" s="84"/>
      <c r="F38" s="84"/>
      <c r="G38" s="84"/>
      <c r="H38" s="84"/>
      <c r="I38" s="49">
        <v>45</v>
      </c>
      <c r="J38" s="49">
        <v>46</v>
      </c>
      <c r="K38" s="49">
        <v>47</v>
      </c>
      <c r="L38" s="49">
        <v>48</v>
      </c>
      <c r="M38" s="49">
        <v>49</v>
      </c>
      <c r="N38" s="49">
        <v>50</v>
      </c>
      <c r="O38" s="49">
        <v>51</v>
      </c>
      <c r="P38" s="49">
        <v>52</v>
      </c>
      <c r="Q38" s="49">
        <v>53</v>
      </c>
      <c r="R38" s="49">
        <v>54</v>
      </c>
      <c r="S38" s="49">
        <v>55</v>
      </c>
      <c r="T38" s="49">
        <v>56</v>
      </c>
      <c r="U38" s="49">
        <v>57</v>
      </c>
      <c r="V38" s="49">
        <v>58</v>
      </c>
      <c r="W38" s="49">
        <v>59</v>
      </c>
      <c r="X38" s="49">
        <v>60</v>
      </c>
      <c r="Y38" s="49">
        <v>61</v>
      </c>
      <c r="Z38" s="49">
        <v>62</v>
      </c>
      <c r="AA38" s="49">
        <v>63</v>
      </c>
      <c r="AB38" s="49">
        <v>64</v>
      </c>
      <c r="AC38" s="49">
        <v>65</v>
      </c>
      <c r="AD38" s="49">
        <v>66</v>
      </c>
      <c r="AE38" s="49">
        <v>67</v>
      </c>
      <c r="AF38" s="49">
        <v>68</v>
      </c>
      <c r="AG38" s="7"/>
      <c r="AH38" s="48" t="str" cm="1">
        <f t="array" ref="AH38">_xlfn.IFS(AG38&gt;= 70,"A",AG38&gt;=60,"B",AG38&gt;=50,"C",AG38&gt;=45,"D",AG38&gt;=40,"E",AG38&lt;40,"F")</f>
        <v>F</v>
      </c>
      <c r="AI38" s="7"/>
      <c r="AJ38" s="48" t="str" cm="1">
        <f t="array" ref="AJ38">_xlfn.IFS(AI38&gt;= 70,"A",AI38&gt;=60,"B",AI38&gt;=50,"C",AI38&gt;=45,"D",AI38&gt;=40,"E",AI38&lt;40,"F")</f>
        <v>F</v>
      </c>
      <c r="AK38" s="7"/>
      <c r="AL38" s="48" t="str" cm="1">
        <f t="array" ref="AL38">_xlfn.IFS(AK38&gt;= 70,"A",AK38&gt;=60,"B",AK38&gt;=50,"C",AK38&gt;=45,"D",AK38&gt;=40,"E",AK38&lt;40,"F")</f>
        <v>F</v>
      </c>
      <c r="AM38" s="59"/>
      <c r="AN38" s="46"/>
      <c r="AO38" s="59"/>
      <c r="AP38" s="75" cm="1">
        <f t="array" ref="AP38">SUM(VLOOKUP(I39:W39,GRADEPOINT!$A$2:$B$7,2,0)*$I$4:$W$4)</f>
        <v>61</v>
      </c>
      <c r="AQ38" s="73">
        <f t="shared" ref="AQ38" si="60">ROUND(AP38/AM39,2)</f>
        <v>2.65</v>
      </c>
      <c r="AR38" s="72"/>
    </row>
    <row r="39" spans="1:44" ht="30" customHeight="1" thickBot="1" x14ac:dyDescent="0.35">
      <c r="A39" s="99"/>
      <c r="B39" s="83"/>
      <c r="C39" s="95"/>
      <c r="D39" s="96"/>
      <c r="E39" s="96"/>
      <c r="F39" s="96"/>
      <c r="G39" s="96"/>
      <c r="H39" s="96"/>
      <c r="I39" s="50" t="str" cm="1">
        <f t="array" ref="I39">_xlfn.IFS(I38&gt;= 70,"A",I38&gt;=60,"B",I38&gt;=50,"C",I38&gt;=45,"D",I38&gt;=40,"E",I38&lt;40,"F")</f>
        <v>D</v>
      </c>
      <c r="J39" s="50" t="str" cm="1">
        <f t="array" ref="J39">_xlfn.IFS(J38&gt;= 70,"A",J38&gt;=60,"B",J38&gt;=50,"C",J38&gt;=45,"D",J38&gt;=40,"E",J38&lt;40,"F")</f>
        <v>D</v>
      </c>
      <c r="K39" s="50" t="str" cm="1">
        <f t="array" ref="K39">_xlfn.IFS(K38&gt;= 70,"A",K38&gt;=60,"B",K38&gt;=50,"C",K38&gt;=45,"D",K38&gt;=40,"E",K38&lt;40,"F")</f>
        <v>D</v>
      </c>
      <c r="L39" s="50" t="str" cm="1">
        <f t="array" ref="L39">_xlfn.IFS(L38&gt;= 70,"A",L38&gt;=60,"B",L38&gt;=50,"C",L38&gt;=45,"D",L38&gt;=40,"E",L38&lt;40,"F")</f>
        <v>D</v>
      </c>
      <c r="M39" s="50" t="str" cm="1">
        <f t="array" ref="M39">_xlfn.IFS(M38&gt;= 70,"A",M38&gt;=60,"B",M38&gt;=50,"C",M38&gt;=45,"D",M38&gt;=40,"E",M38&lt;40,"F")</f>
        <v>D</v>
      </c>
      <c r="N39" s="50" t="str" cm="1">
        <f t="array" ref="N39">_xlfn.IFS(N38&gt;= 70,"A",N38&gt;=60,"B",N38&gt;=50,"C",N38&gt;=45,"D",N38&gt;=40,"E",N38&lt;40,"F")</f>
        <v>C</v>
      </c>
      <c r="O39" s="50" t="str" cm="1">
        <f t="array" ref="O39">_xlfn.IFS(O38&gt;= 70,"A",O38&gt;=60,"B",O38&gt;=50,"C",O38&gt;=45,"D",O38&gt;=40,"E",O38&lt;40,"F")</f>
        <v>C</v>
      </c>
      <c r="P39" s="50" t="str" cm="1">
        <f t="array" ref="P39">_xlfn.IFS(P38&gt;= 70,"A",P38&gt;=60,"B",P38&gt;=50,"C",P38&gt;=45,"D",P38&gt;=40,"E",P38&lt;40,"F")</f>
        <v>C</v>
      </c>
      <c r="Q39" s="50" t="str" cm="1">
        <f t="array" ref="Q39">_xlfn.IFS(Q38&gt;= 70,"A",Q38&gt;=60,"B",Q38&gt;=50,"C",Q38&gt;=45,"D",Q38&gt;=40,"E",Q38&lt;40,"F")</f>
        <v>C</v>
      </c>
      <c r="R39" s="50" t="str" cm="1">
        <f t="array" ref="R39">_xlfn.IFS(R38&gt;= 70,"A",R38&gt;=60,"B",R38&gt;=50,"C",R38&gt;=45,"D",R38&gt;=40,"E",R38&lt;40,"F")</f>
        <v>C</v>
      </c>
      <c r="S39" s="50" t="str" cm="1">
        <f t="array" ref="S39">_xlfn.IFS(S38&gt;= 70,"A",S38&gt;=60,"B",S38&gt;=50,"C",S38&gt;=45,"D",S38&gt;=40,"E",S38&lt;40,"F")</f>
        <v>C</v>
      </c>
      <c r="T39" s="50" t="str" cm="1">
        <f t="array" ref="T39">_xlfn.IFS(T38&gt;= 70,"A",T38&gt;=60,"B",T38&gt;=50,"C",T38&gt;=45,"D",T38&gt;=40,"E",T38&lt;40,"F")</f>
        <v>C</v>
      </c>
      <c r="U39" s="50" t="str" cm="1">
        <f t="array" ref="U39">_xlfn.IFS(U38&gt;= 70,"A",U38&gt;=60,"B",U38&gt;=50,"C",U38&gt;=45,"D",U38&gt;=40,"E",U38&lt;40,"F")</f>
        <v>C</v>
      </c>
      <c r="V39" s="50" t="str" cm="1">
        <f t="array" ref="V39">_xlfn.IFS(V38&gt;= 70,"A",V38&gt;=60,"B",V38&gt;=50,"C",V38&gt;=45,"D",V38&gt;=40,"E",V38&lt;40,"F")</f>
        <v>C</v>
      </c>
      <c r="W39" s="50" t="str" cm="1">
        <f t="array" ref="W39">_xlfn.IFS(W38&gt;= 70,"A",W38&gt;=60,"B",W38&gt;=50,"C",W38&gt;=45,"D",W38&gt;=40,"E",W38&lt;40,"F")</f>
        <v>C</v>
      </c>
      <c r="X39" s="50" t="str" cm="1">
        <f t="array" ref="X39">_xlfn.IFS(X38&gt;= 70,"A",X38&gt;=60,"B",X38&gt;=50,"C",X38&gt;=45,"D",X38&gt;=40,"E",X38&lt;40,"F")</f>
        <v>B</v>
      </c>
      <c r="Y39" s="50" t="str" cm="1">
        <f t="array" ref="Y39">_xlfn.IFS(Y38&gt;= 70,"A",Y38&gt;=60,"B",Y38&gt;=50,"C",Y38&gt;=45,"D",Y38&gt;=40,"E",Y38&lt;40,"F")</f>
        <v>B</v>
      </c>
      <c r="Z39" s="50" t="str" cm="1">
        <f t="array" ref="Z39">_xlfn.IFS(Z38&gt;= 70,"A",Z38&gt;=60,"B",Z38&gt;=50,"C",Z38&gt;=45,"D",Z38&gt;=40,"E",Z38&lt;40,"F")</f>
        <v>B</v>
      </c>
      <c r="AA39" s="50" t="str" cm="1">
        <f t="array" ref="AA39">_xlfn.IFS(AA38&gt;= 70,"A",AA38&gt;=60,"B",AA38&gt;=50,"C",AA38&gt;=45,"D",AA38&gt;=40,"E",AA38&lt;40,"F")</f>
        <v>B</v>
      </c>
      <c r="AB39" s="50" t="str" cm="1">
        <f t="array" ref="AB39">_xlfn.IFS(AB38&gt;= 70,"A",AB38&gt;=60,"B",AB38&gt;=50,"C",AB38&gt;=45,"D",AB38&gt;=40,"E",AB38&lt;40,"F")</f>
        <v>B</v>
      </c>
      <c r="AC39" s="50" t="str" cm="1">
        <f t="array" ref="AC39">_xlfn.IFS(AC38&gt;= 70,"A",AC38&gt;=60,"B",AC38&gt;=50,"C",AC38&gt;=45,"D",AC38&gt;=40,"E",AC38&lt;40,"F")</f>
        <v>B</v>
      </c>
      <c r="AD39" s="50" t="str" cm="1">
        <f t="array" ref="AD39">_xlfn.IFS(AD38&gt;= 70,"A",AD38&gt;=60,"B",AD38&gt;=50,"C",AD38&gt;=45,"D",AD38&gt;=40,"E",AD38&lt;40,"F")</f>
        <v>B</v>
      </c>
      <c r="AE39" s="50" t="str" cm="1">
        <f t="array" ref="AE39">_xlfn.IFS(AE38&gt;= 70,"A",AE38&gt;=60,"B",AE38&gt;=50,"C",AE38&gt;=45,"D",AE38&gt;=40,"E",AE38&lt;40,"F")</f>
        <v>B</v>
      </c>
      <c r="AF39" s="50" t="str" cm="1">
        <f t="array" ref="AF39">_xlfn.IFS(AF38&gt;= 70,"A",AF38&gt;=60,"B",AF38&gt;=50,"C",AF38&gt;=45,"D",AF38&gt;=40,"E",AF38&lt;40,"F")</f>
        <v>B</v>
      </c>
      <c r="AG39" s="7"/>
      <c r="AH39" s="48" t="str" cm="1">
        <f t="array" ref="AH39">_xlfn.IFS(AG39&gt;= 70,"A",AG39&gt;=60,"B",AG39&gt;=50,"C",AG39&gt;=45,"D",AG39&gt;=40,"E",AG39&lt;40,"F")</f>
        <v>F</v>
      </c>
      <c r="AI39" s="7"/>
      <c r="AJ39" s="48" t="str" cm="1">
        <f t="array" ref="AJ39">_xlfn.IFS(AI39&gt;= 70,"A",AI39&gt;=60,"B",AI39&gt;=50,"C",AI39&gt;=45,"D",AI39&gt;=40,"E",AI39&lt;40,"F")</f>
        <v>F</v>
      </c>
      <c r="AK39" s="7"/>
      <c r="AL39" s="48" t="str" cm="1">
        <f t="array" ref="AL39">_xlfn.IFS(AK39&gt;= 70,"A",AK39&gt;=60,"B",AK39&gt;=50,"C",AK39&gt;=45,"D",AK39&gt;=40,"E",AK39&lt;40,"F")</f>
        <v>F</v>
      </c>
      <c r="AM39" s="56">
        <f t="shared" ref="AM39" si="61">SUMIFS($I$4:$W$4,I38:W38,"&gt;0")</f>
        <v>23</v>
      </c>
      <c r="AN39" s="47">
        <f t="shared" ref="AN39" si="62">(SUMIFS($I$4:$W$4,I38:W38,"&gt;0")-SUMIFS($I$4:$W$4,I39:W39,"F"))</f>
        <v>23</v>
      </c>
      <c r="AO39" s="56">
        <f t="shared" ref="AO39" si="63">SUMIFS($I$4:$W$4,I39:W39,"F")</f>
        <v>0</v>
      </c>
      <c r="AP39" s="76"/>
      <c r="AQ39" s="74"/>
      <c r="AR39" s="71"/>
    </row>
    <row r="40" spans="1:44" ht="30" customHeight="1" thickTop="1" x14ac:dyDescent="0.3">
      <c r="A40" s="98">
        <v>18</v>
      </c>
      <c r="B40" s="77"/>
      <c r="C40" s="75"/>
      <c r="D40" s="84"/>
      <c r="E40" s="84"/>
      <c r="F40" s="84"/>
      <c r="G40" s="84"/>
      <c r="H40" s="84"/>
      <c r="I40" s="49">
        <v>45</v>
      </c>
      <c r="J40" s="49">
        <v>46</v>
      </c>
      <c r="K40" s="49">
        <v>47</v>
      </c>
      <c r="L40" s="49">
        <v>48</v>
      </c>
      <c r="M40" s="49">
        <v>49</v>
      </c>
      <c r="N40" s="49">
        <v>50</v>
      </c>
      <c r="O40" s="49">
        <v>51</v>
      </c>
      <c r="P40" s="49">
        <v>52</v>
      </c>
      <c r="Q40" s="49">
        <v>53</v>
      </c>
      <c r="R40" s="49">
        <v>54</v>
      </c>
      <c r="S40" s="49">
        <v>55</v>
      </c>
      <c r="T40" s="49">
        <v>56</v>
      </c>
      <c r="U40" s="49">
        <v>57</v>
      </c>
      <c r="V40" s="49">
        <v>58</v>
      </c>
      <c r="W40" s="49">
        <v>59</v>
      </c>
      <c r="X40" s="49">
        <v>60</v>
      </c>
      <c r="Y40" s="49">
        <v>61</v>
      </c>
      <c r="Z40" s="49">
        <v>62</v>
      </c>
      <c r="AA40" s="49">
        <v>63</v>
      </c>
      <c r="AB40" s="49">
        <v>64</v>
      </c>
      <c r="AC40" s="49">
        <v>65</v>
      </c>
      <c r="AD40" s="49">
        <v>66</v>
      </c>
      <c r="AE40" s="49">
        <v>67</v>
      </c>
      <c r="AF40" s="49">
        <v>68</v>
      </c>
      <c r="AG40" s="7"/>
      <c r="AH40" s="48" t="str" cm="1">
        <f t="array" ref="AH40">_xlfn.IFS(AG40&gt;= 70,"A",AG40&gt;=60,"B",AG40&gt;=50,"C",AG40&gt;=45,"D",AG40&gt;=40,"E",AG40&lt;40,"F")</f>
        <v>F</v>
      </c>
      <c r="AI40" s="7"/>
      <c r="AJ40" s="48" t="str" cm="1">
        <f t="array" ref="AJ40">_xlfn.IFS(AI40&gt;= 70,"A",AI40&gt;=60,"B",AI40&gt;=50,"C",AI40&gt;=45,"D",AI40&gt;=40,"E",AI40&lt;40,"F")</f>
        <v>F</v>
      </c>
      <c r="AK40" s="7"/>
      <c r="AL40" s="48" t="str" cm="1">
        <f t="array" ref="AL40">_xlfn.IFS(AK40&gt;= 70,"A",AK40&gt;=60,"B",AK40&gt;=50,"C",AK40&gt;=45,"D",AK40&gt;=40,"E",AK40&lt;40,"F")</f>
        <v>F</v>
      </c>
      <c r="AM40" s="59"/>
      <c r="AN40" s="46"/>
      <c r="AO40" s="59"/>
      <c r="AP40" s="75" cm="1">
        <f t="array" ref="AP40">SUM(VLOOKUP(I41:W41,GRADEPOINT!$A$2:$B$7,2,0)*$I$4:$W$4)</f>
        <v>61</v>
      </c>
      <c r="AQ40" s="73">
        <f t="shared" ref="AQ40" si="64">ROUND(AP40/AM41,2)</f>
        <v>2.65</v>
      </c>
      <c r="AR40" s="72"/>
    </row>
    <row r="41" spans="1:44" ht="30" customHeight="1" thickBot="1" x14ac:dyDescent="0.35">
      <c r="A41" s="99"/>
      <c r="B41" s="83"/>
      <c r="C41" s="95"/>
      <c r="D41" s="96"/>
      <c r="E41" s="96"/>
      <c r="F41" s="96"/>
      <c r="G41" s="96"/>
      <c r="H41" s="96"/>
      <c r="I41" s="50" t="str" cm="1">
        <f t="array" ref="I41">_xlfn.IFS(I40&gt;= 70,"A",I40&gt;=60,"B",I40&gt;=50,"C",I40&gt;=45,"D",I40&gt;=40,"E",I40&lt;40,"F")</f>
        <v>D</v>
      </c>
      <c r="J41" s="50" t="str" cm="1">
        <f t="array" ref="J41">_xlfn.IFS(J40&gt;= 70,"A",J40&gt;=60,"B",J40&gt;=50,"C",J40&gt;=45,"D",J40&gt;=40,"E",J40&lt;40,"F")</f>
        <v>D</v>
      </c>
      <c r="K41" s="50" t="str" cm="1">
        <f t="array" ref="K41">_xlfn.IFS(K40&gt;= 70,"A",K40&gt;=60,"B",K40&gt;=50,"C",K40&gt;=45,"D",K40&gt;=40,"E",K40&lt;40,"F")</f>
        <v>D</v>
      </c>
      <c r="L41" s="50" t="str" cm="1">
        <f t="array" ref="L41">_xlfn.IFS(L40&gt;= 70,"A",L40&gt;=60,"B",L40&gt;=50,"C",L40&gt;=45,"D",L40&gt;=40,"E",L40&lt;40,"F")</f>
        <v>D</v>
      </c>
      <c r="M41" s="50" t="str" cm="1">
        <f t="array" ref="M41">_xlfn.IFS(M40&gt;= 70,"A",M40&gt;=60,"B",M40&gt;=50,"C",M40&gt;=45,"D",M40&gt;=40,"E",M40&lt;40,"F")</f>
        <v>D</v>
      </c>
      <c r="N41" s="50" t="str" cm="1">
        <f t="array" ref="N41">_xlfn.IFS(N40&gt;= 70,"A",N40&gt;=60,"B",N40&gt;=50,"C",N40&gt;=45,"D",N40&gt;=40,"E",N40&lt;40,"F")</f>
        <v>C</v>
      </c>
      <c r="O41" s="50" t="str" cm="1">
        <f t="array" ref="O41">_xlfn.IFS(O40&gt;= 70,"A",O40&gt;=60,"B",O40&gt;=50,"C",O40&gt;=45,"D",O40&gt;=40,"E",O40&lt;40,"F")</f>
        <v>C</v>
      </c>
      <c r="P41" s="50" t="str" cm="1">
        <f t="array" ref="P41">_xlfn.IFS(P40&gt;= 70,"A",P40&gt;=60,"B",P40&gt;=50,"C",P40&gt;=45,"D",P40&gt;=40,"E",P40&lt;40,"F")</f>
        <v>C</v>
      </c>
      <c r="Q41" s="50" t="str" cm="1">
        <f t="array" ref="Q41">_xlfn.IFS(Q40&gt;= 70,"A",Q40&gt;=60,"B",Q40&gt;=50,"C",Q40&gt;=45,"D",Q40&gt;=40,"E",Q40&lt;40,"F")</f>
        <v>C</v>
      </c>
      <c r="R41" s="50" t="str" cm="1">
        <f t="array" ref="R41">_xlfn.IFS(R40&gt;= 70,"A",R40&gt;=60,"B",R40&gt;=50,"C",R40&gt;=45,"D",R40&gt;=40,"E",R40&lt;40,"F")</f>
        <v>C</v>
      </c>
      <c r="S41" s="50" t="str" cm="1">
        <f t="array" ref="S41">_xlfn.IFS(S40&gt;= 70,"A",S40&gt;=60,"B",S40&gt;=50,"C",S40&gt;=45,"D",S40&gt;=40,"E",S40&lt;40,"F")</f>
        <v>C</v>
      </c>
      <c r="T41" s="50" t="str" cm="1">
        <f t="array" ref="T41">_xlfn.IFS(T40&gt;= 70,"A",T40&gt;=60,"B",T40&gt;=50,"C",T40&gt;=45,"D",T40&gt;=40,"E",T40&lt;40,"F")</f>
        <v>C</v>
      </c>
      <c r="U41" s="50" t="str" cm="1">
        <f t="array" ref="U41">_xlfn.IFS(U40&gt;= 70,"A",U40&gt;=60,"B",U40&gt;=50,"C",U40&gt;=45,"D",U40&gt;=40,"E",U40&lt;40,"F")</f>
        <v>C</v>
      </c>
      <c r="V41" s="50" t="str" cm="1">
        <f t="array" ref="V41">_xlfn.IFS(V40&gt;= 70,"A",V40&gt;=60,"B",V40&gt;=50,"C",V40&gt;=45,"D",V40&gt;=40,"E",V40&lt;40,"F")</f>
        <v>C</v>
      </c>
      <c r="W41" s="50" t="str" cm="1">
        <f t="array" ref="W41">_xlfn.IFS(W40&gt;= 70,"A",W40&gt;=60,"B",W40&gt;=50,"C",W40&gt;=45,"D",W40&gt;=40,"E",W40&lt;40,"F")</f>
        <v>C</v>
      </c>
      <c r="X41" s="50" t="str" cm="1">
        <f t="array" ref="X41">_xlfn.IFS(X40&gt;= 70,"A",X40&gt;=60,"B",X40&gt;=50,"C",X40&gt;=45,"D",X40&gt;=40,"E",X40&lt;40,"F")</f>
        <v>B</v>
      </c>
      <c r="Y41" s="50" t="str" cm="1">
        <f t="array" ref="Y41">_xlfn.IFS(Y40&gt;= 70,"A",Y40&gt;=60,"B",Y40&gt;=50,"C",Y40&gt;=45,"D",Y40&gt;=40,"E",Y40&lt;40,"F")</f>
        <v>B</v>
      </c>
      <c r="Z41" s="50" t="str" cm="1">
        <f t="array" ref="Z41">_xlfn.IFS(Z40&gt;= 70,"A",Z40&gt;=60,"B",Z40&gt;=50,"C",Z40&gt;=45,"D",Z40&gt;=40,"E",Z40&lt;40,"F")</f>
        <v>B</v>
      </c>
      <c r="AA41" s="50" t="str" cm="1">
        <f t="array" ref="AA41">_xlfn.IFS(AA40&gt;= 70,"A",AA40&gt;=60,"B",AA40&gt;=50,"C",AA40&gt;=45,"D",AA40&gt;=40,"E",AA40&lt;40,"F")</f>
        <v>B</v>
      </c>
      <c r="AB41" s="50" t="str" cm="1">
        <f t="array" ref="AB41">_xlfn.IFS(AB40&gt;= 70,"A",AB40&gt;=60,"B",AB40&gt;=50,"C",AB40&gt;=45,"D",AB40&gt;=40,"E",AB40&lt;40,"F")</f>
        <v>B</v>
      </c>
      <c r="AC41" s="50" t="str" cm="1">
        <f t="array" ref="AC41">_xlfn.IFS(AC40&gt;= 70,"A",AC40&gt;=60,"B",AC40&gt;=50,"C",AC40&gt;=45,"D",AC40&gt;=40,"E",AC40&lt;40,"F")</f>
        <v>B</v>
      </c>
      <c r="AD41" s="50" t="str" cm="1">
        <f t="array" ref="AD41">_xlfn.IFS(AD40&gt;= 70,"A",AD40&gt;=60,"B",AD40&gt;=50,"C",AD40&gt;=45,"D",AD40&gt;=40,"E",AD40&lt;40,"F")</f>
        <v>B</v>
      </c>
      <c r="AE41" s="50" t="str" cm="1">
        <f t="array" ref="AE41">_xlfn.IFS(AE40&gt;= 70,"A",AE40&gt;=60,"B",AE40&gt;=50,"C",AE40&gt;=45,"D",AE40&gt;=40,"E",AE40&lt;40,"F")</f>
        <v>B</v>
      </c>
      <c r="AF41" s="50" t="str" cm="1">
        <f t="array" ref="AF41">_xlfn.IFS(AF40&gt;= 70,"A",AF40&gt;=60,"B",AF40&gt;=50,"C",AF40&gt;=45,"D",AF40&gt;=40,"E",AF40&lt;40,"F")</f>
        <v>B</v>
      </c>
      <c r="AG41" s="7"/>
      <c r="AH41" s="48" t="str" cm="1">
        <f t="array" ref="AH41">_xlfn.IFS(AG41&gt;= 70,"A",AG41&gt;=60,"B",AG41&gt;=50,"C",AG41&gt;=45,"D",AG41&gt;=40,"E",AG41&lt;40,"F")</f>
        <v>F</v>
      </c>
      <c r="AI41" s="7"/>
      <c r="AJ41" s="48" t="str" cm="1">
        <f t="array" ref="AJ41">_xlfn.IFS(AI41&gt;= 70,"A",AI41&gt;=60,"B",AI41&gt;=50,"C",AI41&gt;=45,"D",AI41&gt;=40,"E",AI41&lt;40,"F")</f>
        <v>F</v>
      </c>
      <c r="AK41" s="7"/>
      <c r="AL41" s="48" t="str" cm="1">
        <f t="array" ref="AL41">_xlfn.IFS(AK41&gt;= 70,"A",AK41&gt;=60,"B",AK41&gt;=50,"C",AK41&gt;=45,"D",AK41&gt;=40,"E",AK41&lt;40,"F")</f>
        <v>F</v>
      </c>
      <c r="AM41" s="56">
        <f t="shared" ref="AM41" si="65">SUMIFS($I$4:$W$4,I40:W40,"&gt;0")</f>
        <v>23</v>
      </c>
      <c r="AN41" s="47">
        <f t="shared" ref="AN41" si="66">(SUMIFS($I$4:$W$4,I40:W40,"&gt;0")-SUMIFS($I$4:$W$4,I41:W41,"F"))</f>
        <v>23</v>
      </c>
      <c r="AO41" s="56">
        <f t="shared" ref="AO41" si="67">SUMIFS($I$4:$W$4,I41:W41,"F")</f>
        <v>0</v>
      </c>
      <c r="AP41" s="76"/>
      <c r="AQ41" s="74"/>
      <c r="AR41" s="71"/>
    </row>
    <row r="42" spans="1:44" ht="30" customHeight="1" thickTop="1" x14ac:dyDescent="0.3">
      <c r="A42" s="98">
        <v>19</v>
      </c>
      <c r="B42" s="77"/>
      <c r="C42" s="75"/>
      <c r="D42" s="84"/>
      <c r="E42" s="84"/>
      <c r="F42" s="84"/>
      <c r="G42" s="84"/>
      <c r="H42" s="84"/>
      <c r="I42" s="49">
        <v>45</v>
      </c>
      <c r="J42" s="49">
        <v>46</v>
      </c>
      <c r="K42" s="49">
        <v>47</v>
      </c>
      <c r="L42" s="49">
        <v>48</v>
      </c>
      <c r="M42" s="49">
        <v>49</v>
      </c>
      <c r="N42" s="49">
        <v>50</v>
      </c>
      <c r="O42" s="49">
        <v>51</v>
      </c>
      <c r="P42" s="49">
        <v>52</v>
      </c>
      <c r="Q42" s="49">
        <v>53</v>
      </c>
      <c r="R42" s="49">
        <v>54</v>
      </c>
      <c r="S42" s="49">
        <v>55</v>
      </c>
      <c r="T42" s="49">
        <v>56</v>
      </c>
      <c r="U42" s="49">
        <v>57</v>
      </c>
      <c r="V42" s="49">
        <v>58</v>
      </c>
      <c r="W42" s="49">
        <v>59</v>
      </c>
      <c r="X42" s="49">
        <v>60</v>
      </c>
      <c r="Y42" s="49">
        <v>61</v>
      </c>
      <c r="Z42" s="49">
        <v>62</v>
      </c>
      <c r="AA42" s="49">
        <v>63</v>
      </c>
      <c r="AB42" s="49">
        <v>64</v>
      </c>
      <c r="AC42" s="49">
        <v>65</v>
      </c>
      <c r="AD42" s="49">
        <v>66</v>
      </c>
      <c r="AE42" s="49">
        <v>67</v>
      </c>
      <c r="AF42" s="49">
        <v>68</v>
      </c>
      <c r="AG42" s="7"/>
      <c r="AH42" s="48" t="str" cm="1">
        <f t="array" ref="AH42">_xlfn.IFS(AG42&gt;= 70,"A",AG42&gt;=60,"B",AG42&gt;=50,"C",AG42&gt;=45,"D",AG42&gt;=40,"E",AG42&lt;40,"F")</f>
        <v>F</v>
      </c>
      <c r="AI42" s="7"/>
      <c r="AJ42" s="48" t="str" cm="1">
        <f t="array" ref="AJ42">_xlfn.IFS(AI42&gt;= 70,"A",AI42&gt;=60,"B",AI42&gt;=50,"C",AI42&gt;=45,"D",AI42&gt;=40,"E",AI42&lt;40,"F")</f>
        <v>F</v>
      </c>
      <c r="AK42" s="7"/>
      <c r="AL42" s="48" t="str" cm="1">
        <f t="array" ref="AL42">_xlfn.IFS(AK42&gt;= 70,"A",AK42&gt;=60,"B",AK42&gt;=50,"C",AK42&gt;=45,"D",AK42&gt;=40,"E",AK42&lt;40,"F")</f>
        <v>F</v>
      </c>
      <c r="AM42" s="59"/>
      <c r="AN42" s="46"/>
      <c r="AO42" s="59"/>
      <c r="AP42" s="75" cm="1">
        <f t="array" ref="AP42">SUM(VLOOKUP(I43:W43,GRADEPOINT!$A$2:$B$7,2,0)*$I$4:$W$4)</f>
        <v>61</v>
      </c>
      <c r="AQ42" s="73">
        <f t="shared" ref="AQ42" si="68">ROUND(AP42/AM43,2)</f>
        <v>2.65</v>
      </c>
      <c r="AR42" s="72"/>
    </row>
    <row r="43" spans="1:44" ht="30" customHeight="1" thickBot="1" x14ac:dyDescent="0.35">
      <c r="A43" s="99"/>
      <c r="B43" s="83"/>
      <c r="C43" s="95"/>
      <c r="D43" s="96"/>
      <c r="E43" s="96"/>
      <c r="F43" s="96"/>
      <c r="G43" s="96"/>
      <c r="H43" s="96"/>
      <c r="I43" s="50" t="str" cm="1">
        <f t="array" ref="I43">_xlfn.IFS(I42&gt;= 70,"A",I42&gt;=60,"B",I42&gt;=50,"C",I42&gt;=45,"D",I42&gt;=40,"E",I42&lt;40,"F")</f>
        <v>D</v>
      </c>
      <c r="J43" s="50" t="str" cm="1">
        <f t="array" ref="J43">_xlfn.IFS(J42&gt;= 70,"A",J42&gt;=60,"B",J42&gt;=50,"C",J42&gt;=45,"D",J42&gt;=40,"E",J42&lt;40,"F")</f>
        <v>D</v>
      </c>
      <c r="K43" s="50" t="str" cm="1">
        <f t="array" ref="K43">_xlfn.IFS(K42&gt;= 70,"A",K42&gt;=60,"B",K42&gt;=50,"C",K42&gt;=45,"D",K42&gt;=40,"E",K42&lt;40,"F")</f>
        <v>D</v>
      </c>
      <c r="L43" s="50" t="str" cm="1">
        <f t="array" ref="L43">_xlfn.IFS(L42&gt;= 70,"A",L42&gt;=60,"B",L42&gt;=50,"C",L42&gt;=45,"D",L42&gt;=40,"E",L42&lt;40,"F")</f>
        <v>D</v>
      </c>
      <c r="M43" s="50" t="str" cm="1">
        <f t="array" ref="M43">_xlfn.IFS(M42&gt;= 70,"A",M42&gt;=60,"B",M42&gt;=50,"C",M42&gt;=45,"D",M42&gt;=40,"E",M42&lt;40,"F")</f>
        <v>D</v>
      </c>
      <c r="N43" s="50" t="str" cm="1">
        <f t="array" ref="N43">_xlfn.IFS(N42&gt;= 70,"A",N42&gt;=60,"B",N42&gt;=50,"C",N42&gt;=45,"D",N42&gt;=40,"E",N42&lt;40,"F")</f>
        <v>C</v>
      </c>
      <c r="O43" s="50" t="str" cm="1">
        <f t="array" ref="O43">_xlfn.IFS(O42&gt;= 70,"A",O42&gt;=60,"B",O42&gt;=50,"C",O42&gt;=45,"D",O42&gt;=40,"E",O42&lt;40,"F")</f>
        <v>C</v>
      </c>
      <c r="P43" s="50" t="str" cm="1">
        <f t="array" ref="P43">_xlfn.IFS(P42&gt;= 70,"A",P42&gt;=60,"B",P42&gt;=50,"C",P42&gt;=45,"D",P42&gt;=40,"E",P42&lt;40,"F")</f>
        <v>C</v>
      </c>
      <c r="Q43" s="50" t="str" cm="1">
        <f t="array" ref="Q43">_xlfn.IFS(Q42&gt;= 70,"A",Q42&gt;=60,"B",Q42&gt;=50,"C",Q42&gt;=45,"D",Q42&gt;=40,"E",Q42&lt;40,"F")</f>
        <v>C</v>
      </c>
      <c r="R43" s="50" t="str" cm="1">
        <f t="array" ref="R43">_xlfn.IFS(R42&gt;= 70,"A",R42&gt;=60,"B",R42&gt;=50,"C",R42&gt;=45,"D",R42&gt;=40,"E",R42&lt;40,"F")</f>
        <v>C</v>
      </c>
      <c r="S43" s="50" t="str" cm="1">
        <f t="array" ref="S43">_xlfn.IFS(S42&gt;= 70,"A",S42&gt;=60,"B",S42&gt;=50,"C",S42&gt;=45,"D",S42&gt;=40,"E",S42&lt;40,"F")</f>
        <v>C</v>
      </c>
      <c r="T43" s="50" t="str" cm="1">
        <f t="array" ref="T43">_xlfn.IFS(T42&gt;= 70,"A",T42&gt;=60,"B",T42&gt;=50,"C",T42&gt;=45,"D",T42&gt;=40,"E",T42&lt;40,"F")</f>
        <v>C</v>
      </c>
      <c r="U43" s="50" t="str" cm="1">
        <f t="array" ref="U43">_xlfn.IFS(U42&gt;= 70,"A",U42&gt;=60,"B",U42&gt;=50,"C",U42&gt;=45,"D",U42&gt;=40,"E",U42&lt;40,"F")</f>
        <v>C</v>
      </c>
      <c r="V43" s="50" t="str" cm="1">
        <f t="array" ref="V43">_xlfn.IFS(V42&gt;= 70,"A",V42&gt;=60,"B",V42&gt;=50,"C",V42&gt;=45,"D",V42&gt;=40,"E",V42&lt;40,"F")</f>
        <v>C</v>
      </c>
      <c r="W43" s="50" t="str" cm="1">
        <f t="array" ref="W43">_xlfn.IFS(W42&gt;= 70,"A",W42&gt;=60,"B",W42&gt;=50,"C",W42&gt;=45,"D",W42&gt;=40,"E",W42&lt;40,"F")</f>
        <v>C</v>
      </c>
      <c r="X43" s="50" t="str" cm="1">
        <f t="array" ref="X43">_xlfn.IFS(X42&gt;= 70,"A",X42&gt;=60,"B",X42&gt;=50,"C",X42&gt;=45,"D",X42&gt;=40,"E",X42&lt;40,"F")</f>
        <v>B</v>
      </c>
      <c r="Y43" s="50" t="str" cm="1">
        <f t="array" ref="Y43">_xlfn.IFS(Y42&gt;= 70,"A",Y42&gt;=60,"B",Y42&gt;=50,"C",Y42&gt;=45,"D",Y42&gt;=40,"E",Y42&lt;40,"F")</f>
        <v>B</v>
      </c>
      <c r="Z43" s="50" t="str" cm="1">
        <f t="array" ref="Z43">_xlfn.IFS(Z42&gt;= 70,"A",Z42&gt;=60,"B",Z42&gt;=50,"C",Z42&gt;=45,"D",Z42&gt;=40,"E",Z42&lt;40,"F")</f>
        <v>B</v>
      </c>
      <c r="AA43" s="50" t="str" cm="1">
        <f t="array" ref="AA43">_xlfn.IFS(AA42&gt;= 70,"A",AA42&gt;=60,"B",AA42&gt;=50,"C",AA42&gt;=45,"D",AA42&gt;=40,"E",AA42&lt;40,"F")</f>
        <v>B</v>
      </c>
      <c r="AB43" s="50" t="str" cm="1">
        <f t="array" ref="AB43">_xlfn.IFS(AB42&gt;= 70,"A",AB42&gt;=60,"B",AB42&gt;=50,"C",AB42&gt;=45,"D",AB42&gt;=40,"E",AB42&lt;40,"F")</f>
        <v>B</v>
      </c>
      <c r="AC43" s="50" t="str" cm="1">
        <f t="array" ref="AC43">_xlfn.IFS(AC42&gt;= 70,"A",AC42&gt;=60,"B",AC42&gt;=50,"C",AC42&gt;=45,"D",AC42&gt;=40,"E",AC42&lt;40,"F")</f>
        <v>B</v>
      </c>
      <c r="AD43" s="50" t="str" cm="1">
        <f t="array" ref="AD43">_xlfn.IFS(AD42&gt;= 70,"A",AD42&gt;=60,"B",AD42&gt;=50,"C",AD42&gt;=45,"D",AD42&gt;=40,"E",AD42&lt;40,"F")</f>
        <v>B</v>
      </c>
      <c r="AE43" s="50" t="str" cm="1">
        <f t="array" ref="AE43">_xlfn.IFS(AE42&gt;= 70,"A",AE42&gt;=60,"B",AE42&gt;=50,"C",AE42&gt;=45,"D",AE42&gt;=40,"E",AE42&lt;40,"F")</f>
        <v>B</v>
      </c>
      <c r="AF43" s="50" t="str" cm="1">
        <f t="array" ref="AF43">_xlfn.IFS(AF42&gt;= 70,"A",AF42&gt;=60,"B",AF42&gt;=50,"C",AF42&gt;=45,"D",AF42&gt;=40,"E",AF42&lt;40,"F")</f>
        <v>B</v>
      </c>
      <c r="AG43" s="7"/>
      <c r="AH43" s="48" t="str" cm="1">
        <f t="array" ref="AH43">_xlfn.IFS(AG43&gt;= 70,"A",AG43&gt;=60,"B",AG43&gt;=50,"C",AG43&gt;=45,"D",AG43&gt;=40,"E",AG43&lt;40,"F")</f>
        <v>F</v>
      </c>
      <c r="AI43" s="7"/>
      <c r="AJ43" s="48" t="str" cm="1">
        <f t="array" ref="AJ43">_xlfn.IFS(AI43&gt;= 70,"A",AI43&gt;=60,"B",AI43&gt;=50,"C",AI43&gt;=45,"D",AI43&gt;=40,"E",AI43&lt;40,"F")</f>
        <v>F</v>
      </c>
      <c r="AK43" s="7"/>
      <c r="AL43" s="48" t="str" cm="1">
        <f t="array" ref="AL43">_xlfn.IFS(AK43&gt;= 70,"A",AK43&gt;=60,"B",AK43&gt;=50,"C",AK43&gt;=45,"D",AK43&gt;=40,"E",AK43&lt;40,"F")</f>
        <v>F</v>
      </c>
      <c r="AM43" s="56">
        <f t="shared" ref="AM43" si="69">SUMIFS($I$4:$W$4,I42:W42,"&gt;0")</f>
        <v>23</v>
      </c>
      <c r="AN43" s="47">
        <f t="shared" ref="AN43" si="70">(SUMIFS($I$4:$W$4,I42:W42,"&gt;0")-SUMIFS($I$4:$W$4,I43:W43,"F"))</f>
        <v>23</v>
      </c>
      <c r="AO43" s="56">
        <f t="shared" ref="AO43" si="71">SUMIFS($I$4:$W$4,I43:W43,"F")</f>
        <v>0</v>
      </c>
      <c r="AP43" s="76"/>
      <c r="AQ43" s="74"/>
      <c r="AR43" s="71"/>
    </row>
    <row r="44" spans="1:44" ht="30" customHeight="1" thickTop="1" x14ac:dyDescent="0.3">
      <c r="A44" s="98">
        <v>20</v>
      </c>
      <c r="B44" s="77"/>
      <c r="C44" s="75"/>
      <c r="D44" s="84"/>
      <c r="E44" s="84"/>
      <c r="F44" s="84"/>
      <c r="G44" s="84"/>
      <c r="H44" s="84"/>
      <c r="I44" s="49">
        <v>45</v>
      </c>
      <c r="J44" s="49">
        <v>46</v>
      </c>
      <c r="K44" s="49">
        <v>47</v>
      </c>
      <c r="L44" s="49">
        <v>48</v>
      </c>
      <c r="M44" s="49">
        <v>49</v>
      </c>
      <c r="N44" s="49">
        <v>50</v>
      </c>
      <c r="O44" s="49">
        <v>51</v>
      </c>
      <c r="P44" s="49">
        <v>52</v>
      </c>
      <c r="Q44" s="49">
        <v>53</v>
      </c>
      <c r="R44" s="49">
        <v>54</v>
      </c>
      <c r="S44" s="49">
        <v>55</v>
      </c>
      <c r="T44" s="49">
        <v>56</v>
      </c>
      <c r="U44" s="49">
        <v>57</v>
      </c>
      <c r="V44" s="49">
        <v>58</v>
      </c>
      <c r="W44" s="49">
        <v>59</v>
      </c>
      <c r="X44" s="49">
        <v>60</v>
      </c>
      <c r="Y44" s="49">
        <v>61</v>
      </c>
      <c r="Z44" s="49">
        <v>62</v>
      </c>
      <c r="AA44" s="49">
        <v>63</v>
      </c>
      <c r="AB44" s="49">
        <v>64</v>
      </c>
      <c r="AC44" s="49">
        <v>65</v>
      </c>
      <c r="AD44" s="49">
        <v>66</v>
      </c>
      <c r="AE44" s="49">
        <v>67</v>
      </c>
      <c r="AF44" s="49">
        <v>68</v>
      </c>
      <c r="AG44" s="7"/>
      <c r="AH44" s="48" t="str" cm="1">
        <f t="array" ref="AH44">_xlfn.IFS(AG44&gt;= 70,"A",AG44&gt;=60,"B",AG44&gt;=50,"C",AG44&gt;=45,"D",AG44&gt;=40,"E",AG44&lt;40,"F")</f>
        <v>F</v>
      </c>
      <c r="AI44" s="7"/>
      <c r="AJ44" s="48" t="str" cm="1">
        <f t="array" ref="AJ44">_xlfn.IFS(AI44&gt;= 70,"A",AI44&gt;=60,"B",AI44&gt;=50,"C",AI44&gt;=45,"D",AI44&gt;=40,"E",AI44&lt;40,"F")</f>
        <v>F</v>
      </c>
      <c r="AK44" s="7"/>
      <c r="AL44" s="48" t="str" cm="1">
        <f t="array" ref="AL44">_xlfn.IFS(AK44&gt;= 70,"A",AK44&gt;=60,"B",AK44&gt;=50,"C",AK44&gt;=45,"D",AK44&gt;=40,"E",AK44&lt;40,"F")</f>
        <v>F</v>
      </c>
      <c r="AM44" s="59"/>
      <c r="AN44" s="46"/>
      <c r="AO44" s="59"/>
      <c r="AP44" s="75" cm="1">
        <f t="array" ref="AP44">SUM(VLOOKUP(I45:W45,GRADEPOINT!$A$2:$B$7,2,0)*$I$4:$W$4)</f>
        <v>61</v>
      </c>
      <c r="AQ44" s="73">
        <f t="shared" ref="AQ44" si="72">ROUND(AP44/AM45,2)</f>
        <v>2.65</v>
      </c>
      <c r="AR44" s="72"/>
    </row>
    <row r="45" spans="1:44" ht="30" customHeight="1" thickBot="1" x14ac:dyDescent="0.35">
      <c r="A45" s="99"/>
      <c r="B45" s="83"/>
      <c r="C45" s="95"/>
      <c r="D45" s="96"/>
      <c r="E45" s="96"/>
      <c r="F45" s="96"/>
      <c r="G45" s="96"/>
      <c r="H45" s="96"/>
      <c r="I45" s="50" t="str" cm="1">
        <f t="array" ref="I45">_xlfn.IFS(I44&gt;= 70,"A",I44&gt;=60,"B",I44&gt;=50,"C",I44&gt;=45,"D",I44&gt;=40,"E",I44&lt;40,"F")</f>
        <v>D</v>
      </c>
      <c r="J45" s="50" t="str" cm="1">
        <f t="array" ref="J45">_xlfn.IFS(J44&gt;= 70,"A",J44&gt;=60,"B",J44&gt;=50,"C",J44&gt;=45,"D",J44&gt;=40,"E",J44&lt;40,"F")</f>
        <v>D</v>
      </c>
      <c r="K45" s="50" t="str" cm="1">
        <f t="array" ref="K45">_xlfn.IFS(K44&gt;= 70,"A",K44&gt;=60,"B",K44&gt;=50,"C",K44&gt;=45,"D",K44&gt;=40,"E",K44&lt;40,"F")</f>
        <v>D</v>
      </c>
      <c r="L45" s="50" t="str" cm="1">
        <f t="array" ref="L45">_xlfn.IFS(L44&gt;= 70,"A",L44&gt;=60,"B",L44&gt;=50,"C",L44&gt;=45,"D",L44&gt;=40,"E",L44&lt;40,"F")</f>
        <v>D</v>
      </c>
      <c r="M45" s="50" t="str" cm="1">
        <f t="array" ref="M45">_xlfn.IFS(M44&gt;= 70,"A",M44&gt;=60,"B",M44&gt;=50,"C",M44&gt;=45,"D",M44&gt;=40,"E",M44&lt;40,"F")</f>
        <v>D</v>
      </c>
      <c r="N45" s="50" t="str" cm="1">
        <f t="array" ref="N45">_xlfn.IFS(N44&gt;= 70,"A",N44&gt;=60,"B",N44&gt;=50,"C",N44&gt;=45,"D",N44&gt;=40,"E",N44&lt;40,"F")</f>
        <v>C</v>
      </c>
      <c r="O45" s="50" t="str" cm="1">
        <f t="array" ref="O45">_xlfn.IFS(O44&gt;= 70,"A",O44&gt;=60,"B",O44&gt;=50,"C",O44&gt;=45,"D",O44&gt;=40,"E",O44&lt;40,"F")</f>
        <v>C</v>
      </c>
      <c r="P45" s="50" t="str" cm="1">
        <f t="array" ref="P45">_xlfn.IFS(P44&gt;= 70,"A",P44&gt;=60,"B",P44&gt;=50,"C",P44&gt;=45,"D",P44&gt;=40,"E",P44&lt;40,"F")</f>
        <v>C</v>
      </c>
      <c r="Q45" s="50" t="str" cm="1">
        <f t="array" ref="Q45">_xlfn.IFS(Q44&gt;= 70,"A",Q44&gt;=60,"B",Q44&gt;=50,"C",Q44&gt;=45,"D",Q44&gt;=40,"E",Q44&lt;40,"F")</f>
        <v>C</v>
      </c>
      <c r="R45" s="50" t="str" cm="1">
        <f t="array" ref="R45">_xlfn.IFS(R44&gt;= 70,"A",R44&gt;=60,"B",R44&gt;=50,"C",R44&gt;=45,"D",R44&gt;=40,"E",R44&lt;40,"F")</f>
        <v>C</v>
      </c>
      <c r="S45" s="50" t="str" cm="1">
        <f t="array" ref="S45">_xlfn.IFS(S44&gt;= 70,"A",S44&gt;=60,"B",S44&gt;=50,"C",S44&gt;=45,"D",S44&gt;=40,"E",S44&lt;40,"F")</f>
        <v>C</v>
      </c>
      <c r="T45" s="50" t="str" cm="1">
        <f t="array" ref="T45">_xlfn.IFS(T44&gt;= 70,"A",T44&gt;=60,"B",T44&gt;=50,"C",T44&gt;=45,"D",T44&gt;=40,"E",T44&lt;40,"F")</f>
        <v>C</v>
      </c>
      <c r="U45" s="50" t="str" cm="1">
        <f t="array" ref="U45">_xlfn.IFS(U44&gt;= 70,"A",U44&gt;=60,"B",U44&gt;=50,"C",U44&gt;=45,"D",U44&gt;=40,"E",U44&lt;40,"F")</f>
        <v>C</v>
      </c>
      <c r="V45" s="50" t="str" cm="1">
        <f t="array" ref="V45">_xlfn.IFS(V44&gt;= 70,"A",V44&gt;=60,"B",V44&gt;=50,"C",V44&gt;=45,"D",V44&gt;=40,"E",V44&lt;40,"F")</f>
        <v>C</v>
      </c>
      <c r="W45" s="50" t="str" cm="1">
        <f t="array" ref="W45">_xlfn.IFS(W44&gt;= 70,"A",W44&gt;=60,"B",W44&gt;=50,"C",W44&gt;=45,"D",W44&gt;=40,"E",W44&lt;40,"F")</f>
        <v>C</v>
      </c>
      <c r="X45" s="50" t="str" cm="1">
        <f t="array" ref="X45">_xlfn.IFS(X44&gt;= 70,"A",X44&gt;=60,"B",X44&gt;=50,"C",X44&gt;=45,"D",X44&gt;=40,"E",X44&lt;40,"F")</f>
        <v>B</v>
      </c>
      <c r="Y45" s="50" t="str" cm="1">
        <f t="array" ref="Y45">_xlfn.IFS(Y44&gt;= 70,"A",Y44&gt;=60,"B",Y44&gt;=50,"C",Y44&gt;=45,"D",Y44&gt;=40,"E",Y44&lt;40,"F")</f>
        <v>B</v>
      </c>
      <c r="Z45" s="50" t="str" cm="1">
        <f t="array" ref="Z45">_xlfn.IFS(Z44&gt;= 70,"A",Z44&gt;=60,"B",Z44&gt;=50,"C",Z44&gt;=45,"D",Z44&gt;=40,"E",Z44&lt;40,"F")</f>
        <v>B</v>
      </c>
      <c r="AA45" s="50" t="str" cm="1">
        <f t="array" ref="AA45">_xlfn.IFS(AA44&gt;= 70,"A",AA44&gt;=60,"B",AA44&gt;=50,"C",AA44&gt;=45,"D",AA44&gt;=40,"E",AA44&lt;40,"F")</f>
        <v>B</v>
      </c>
      <c r="AB45" s="50" t="str" cm="1">
        <f t="array" ref="AB45">_xlfn.IFS(AB44&gt;= 70,"A",AB44&gt;=60,"B",AB44&gt;=50,"C",AB44&gt;=45,"D",AB44&gt;=40,"E",AB44&lt;40,"F")</f>
        <v>B</v>
      </c>
      <c r="AC45" s="50" t="str" cm="1">
        <f t="array" ref="AC45">_xlfn.IFS(AC44&gt;= 70,"A",AC44&gt;=60,"B",AC44&gt;=50,"C",AC44&gt;=45,"D",AC44&gt;=40,"E",AC44&lt;40,"F")</f>
        <v>B</v>
      </c>
      <c r="AD45" s="50" t="str" cm="1">
        <f t="array" ref="AD45">_xlfn.IFS(AD44&gt;= 70,"A",AD44&gt;=60,"B",AD44&gt;=50,"C",AD44&gt;=45,"D",AD44&gt;=40,"E",AD44&lt;40,"F")</f>
        <v>B</v>
      </c>
      <c r="AE45" s="50" t="str" cm="1">
        <f t="array" ref="AE45">_xlfn.IFS(AE44&gt;= 70,"A",AE44&gt;=60,"B",AE44&gt;=50,"C",AE44&gt;=45,"D",AE44&gt;=40,"E",AE44&lt;40,"F")</f>
        <v>B</v>
      </c>
      <c r="AF45" s="50" t="str" cm="1">
        <f t="array" ref="AF45">_xlfn.IFS(AF44&gt;= 70,"A",AF44&gt;=60,"B",AF44&gt;=50,"C",AF44&gt;=45,"D",AF44&gt;=40,"E",AF44&lt;40,"F")</f>
        <v>B</v>
      </c>
      <c r="AG45" s="7"/>
      <c r="AH45" s="48" t="str" cm="1">
        <f t="array" ref="AH45">_xlfn.IFS(AG45&gt;= 70,"A",AG45&gt;=60,"B",AG45&gt;=50,"C",AG45&gt;=45,"D",AG45&gt;=40,"E",AG45&lt;40,"F")</f>
        <v>F</v>
      </c>
      <c r="AI45" s="7"/>
      <c r="AJ45" s="48" t="str" cm="1">
        <f t="array" ref="AJ45">_xlfn.IFS(AI45&gt;= 70,"A",AI45&gt;=60,"B",AI45&gt;=50,"C",AI45&gt;=45,"D",AI45&gt;=40,"E",AI45&lt;40,"F")</f>
        <v>F</v>
      </c>
      <c r="AK45" s="7"/>
      <c r="AL45" s="48" t="str" cm="1">
        <f t="array" ref="AL45">_xlfn.IFS(AK45&gt;= 70,"A",AK45&gt;=60,"B",AK45&gt;=50,"C",AK45&gt;=45,"D",AK45&gt;=40,"E",AK45&lt;40,"F")</f>
        <v>F</v>
      </c>
      <c r="AM45" s="56">
        <f t="shared" ref="AM45" si="73">SUMIFS($I$4:$W$4,I44:W44,"&gt;0")</f>
        <v>23</v>
      </c>
      <c r="AN45" s="47">
        <f t="shared" ref="AN45" si="74">(SUMIFS($I$4:$W$4,I44:W44,"&gt;0")-SUMIFS($I$4:$W$4,I45:W45,"F"))</f>
        <v>23</v>
      </c>
      <c r="AO45" s="56">
        <f t="shared" ref="AO45" si="75">SUMIFS($I$4:$W$4,I45:W45,"F")</f>
        <v>0</v>
      </c>
      <c r="AP45" s="76"/>
      <c r="AQ45" s="74"/>
      <c r="AR45" s="71"/>
    </row>
    <row r="46" spans="1:44" ht="30" customHeight="1" thickTop="1" x14ac:dyDescent="0.3">
      <c r="A46" s="98">
        <v>21</v>
      </c>
      <c r="B46" s="77"/>
      <c r="C46" s="75"/>
      <c r="D46" s="84"/>
      <c r="E46" s="84"/>
      <c r="F46" s="84"/>
      <c r="G46" s="84"/>
      <c r="H46" s="84"/>
      <c r="I46" s="49">
        <v>45</v>
      </c>
      <c r="J46" s="49">
        <v>46</v>
      </c>
      <c r="K46" s="49">
        <v>47</v>
      </c>
      <c r="L46" s="49">
        <v>48</v>
      </c>
      <c r="M46" s="49">
        <v>49</v>
      </c>
      <c r="N46" s="49">
        <v>50</v>
      </c>
      <c r="O46" s="49">
        <v>51</v>
      </c>
      <c r="P46" s="49">
        <v>52</v>
      </c>
      <c r="Q46" s="49">
        <v>53</v>
      </c>
      <c r="R46" s="49">
        <v>54</v>
      </c>
      <c r="S46" s="49">
        <v>55</v>
      </c>
      <c r="T46" s="49">
        <v>56</v>
      </c>
      <c r="U46" s="49">
        <v>57</v>
      </c>
      <c r="V46" s="49">
        <v>58</v>
      </c>
      <c r="W46" s="49">
        <v>59</v>
      </c>
      <c r="X46" s="49">
        <v>60</v>
      </c>
      <c r="Y46" s="49">
        <v>61</v>
      </c>
      <c r="Z46" s="49">
        <v>62</v>
      </c>
      <c r="AA46" s="49">
        <v>63</v>
      </c>
      <c r="AB46" s="49">
        <v>64</v>
      </c>
      <c r="AC46" s="49">
        <v>65</v>
      </c>
      <c r="AD46" s="49">
        <v>66</v>
      </c>
      <c r="AE46" s="49">
        <v>67</v>
      </c>
      <c r="AF46" s="49">
        <v>68</v>
      </c>
      <c r="AG46" s="7"/>
      <c r="AH46" s="48" t="str" cm="1">
        <f t="array" ref="AH46">_xlfn.IFS(AG46&gt;= 70,"A",AG46&gt;=60,"B",AG46&gt;=50,"C",AG46&gt;=45,"D",AG46&gt;=40,"E",AG46&lt;40,"F")</f>
        <v>F</v>
      </c>
      <c r="AI46" s="7"/>
      <c r="AJ46" s="48" t="str" cm="1">
        <f t="array" ref="AJ46">_xlfn.IFS(AI46&gt;= 70,"A",AI46&gt;=60,"B",AI46&gt;=50,"C",AI46&gt;=45,"D",AI46&gt;=40,"E",AI46&lt;40,"F")</f>
        <v>F</v>
      </c>
      <c r="AK46" s="7"/>
      <c r="AL46" s="48" t="str" cm="1">
        <f t="array" ref="AL46">_xlfn.IFS(AK46&gt;= 70,"A",AK46&gt;=60,"B",AK46&gt;=50,"C",AK46&gt;=45,"D",AK46&gt;=40,"E",AK46&lt;40,"F")</f>
        <v>F</v>
      </c>
      <c r="AM46" s="59"/>
      <c r="AN46" s="46"/>
      <c r="AO46" s="59"/>
      <c r="AP46" s="75" cm="1">
        <f t="array" ref="AP46">SUM(VLOOKUP(I47:W47,GRADEPOINT!$A$2:$B$7,2,0)*$I$4:$W$4)</f>
        <v>61</v>
      </c>
      <c r="AQ46" s="73">
        <f t="shared" ref="AQ46" si="76">ROUND(AP46/AM47,2)</f>
        <v>2.65</v>
      </c>
      <c r="AR46" s="72"/>
    </row>
    <row r="47" spans="1:44" ht="30" customHeight="1" thickBot="1" x14ac:dyDescent="0.35">
      <c r="A47" s="99"/>
      <c r="B47" s="83"/>
      <c r="C47" s="95"/>
      <c r="D47" s="96"/>
      <c r="E47" s="96"/>
      <c r="F47" s="96"/>
      <c r="G47" s="96"/>
      <c r="H47" s="96"/>
      <c r="I47" s="50" t="str" cm="1">
        <f t="array" ref="I47">_xlfn.IFS(I46&gt;= 70,"A",I46&gt;=60,"B",I46&gt;=50,"C",I46&gt;=45,"D",I46&gt;=40,"E",I46&lt;40,"F")</f>
        <v>D</v>
      </c>
      <c r="J47" s="50" t="str" cm="1">
        <f t="array" ref="J47">_xlfn.IFS(J46&gt;= 70,"A",J46&gt;=60,"B",J46&gt;=50,"C",J46&gt;=45,"D",J46&gt;=40,"E",J46&lt;40,"F")</f>
        <v>D</v>
      </c>
      <c r="K47" s="50" t="str" cm="1">
        <f t="array" ref="K47">_xlfn.IFS(K46&gt;= 70,"A",K46&gt;=60,"B",K46&gt;=50,"C",K46&gt;=45,"D",K46&gt;=40,"E",K46&lt;40,"F")</f>
        <v>D</v>
      </c>
      <c r="L47" s="50" t="str" cm="1">
        <f t="array" ref="L47">_xlfn.IFS(L46&gt;= 70,"A",L46&gt;=60,"B",L46&gt;=50,"C",L46&gt;=45,"D",L46&gt;=40,"E",L46&lt;40,"F")</f>
        <v>D</v>
      </c>
      <c r="M47" s="50" t="str" cm="1">
        <f t="array" ref="M47">_xlfn.IFS(M46&gt;= 70,"A",M46&gt;=60,"B",M46&gt;=50,"C",M46&gt;=45,"D",M46&gt;=40,"E",M46&lt;40,"F")</f>
        <v>D</v>
      </c>
      <c r="N47" s="50" t="str" cm="1">
        <f t="array" ref="N47">_xlfn.IFS(N46&gt;= 70,"A",N46&gt;=60,"B",N46&gt;=50,"C",N46&gt;=45,"D",N46&gt;=40,"E",N46&lt;40,"F")</f>
        <v>C</v>
      </c>
      <c r="O47" s="50" t="str" cm="1">
        <f t="array" ref="O47">_xlfn.IFS(O46&gt;= 70,"A",O46&gt;=60,"B",O46&gt;=50,"C",O46&gt;=45,"D",O46&gt;=40,"E",O46&lt;40,"F")</f>
        <v>C</v>
      </c>
      <c r="P47" s="50" t="str" cm="1">
        <f t="array" ref="P47">_xlfn.IFS(P46&gt;= 70,"A",P46&gt;=60,"B",P46&gt;=50,"C",P46&gt;=45,"D",P46&gt;=40,"E",P46&lt;40,"F")</f>
        <v>C</v>
      </c>
      <c r="Q47" s="50" t="str" cm="1">
        <f t="array" ref="Q47">_xlfn.IFS(Q46&gt;= 70,"A",Q46&gt;=60,"B",Q46&gt;=50,"C",Q46&gt;=45,"D",Q46&gt;=40,"E",Q46&lt;40,"F")</f>
        <v>C</v>
      </c>
      <c r="R47" s="50" t="str" cm="1">
        <f t="array" ref="R47">_xlfn.IFS(R46&gt;= 70,"A",R46&gt;=60,"B",R46&gt;=50,"C",R46&gt;=45,"D",R46&gt;=40,"E",R46&lt;40,"F")</f>
        <v>C</v>
      </c>
      <c r="S47" s="50" t="str" cm="1">
        <f t="array" ref="S47">_xlfn.IFS(S46&gt;= 70,"A",S46&gt;=60,"B",S46&gt;=50,"C",S46&gt;=45,"D",S46&gt;=40,"E",S46&lt;40,"F")</f>
        <v>C</v>
      </c>
      <c r="T47" s="50" t="str" cm="1">
        <f t="array" ref="T47">_xlfn.IFS(T46&gt;= 70,"A",T46&gt;=60,"B",T46&gt;=50,"C",T46&gt;=45,"D",T46&gt;=40,"E",T46&lt;40,"F")</f>
        <v>C</v>
      </c>
      <c r="U47" s="50" t="str" cm="1">
        <f t="array" ref="U47">_xlfn.IFS(U46&gt;= 70,"A",U46&gt;=60,"B",U46&gt;=50,"C",U46&gt;=45,"D",U46&gt;=40,"E",U46&lt;40,"F")</f>
        <v>C</v>
      </c>
      <c r="V47" s="50" t="str" cm="1">
        <f t="array" ref="V47">_xlfn.IFS(V46&gt;= 70,"A",V46&gt;=60,"B",V46&gt;=50,"C",V46&gt;=45,"D",V46&gt;=40,"E",V46&lt;40,"F")</f>
        <v>C</v>
      </c>
      <c r="W47" s="50" t="str" cm="1">
        <f t="array" ref="W47">_xlfn.IFS(W46&gt;= 70,"A",W46&gt;=60,"B",W46&gt;=50,"C",W46&gt;=45,"D",W46&gt;=40,"E",W46&lt;40,"F")</f>
        <v>C</v>
      </c>
      <c r="X47" s="50" t="str" cm="1">
        <f t="array" ref="X47">_xlfn.IFS(X46&gt;= 70,"A",X46&gt;=60,"B",X46&gt;=50,"C",X46&gt;=45,"D",X46&gt;=40,"E",X46&lt;40,"F")</f>
        <v>B</v>
      </c>
      <c r="Y47" s="50" t="str" cm="1">
        <f t="array" ref="Y47">_xlfn.IFS(Y46&gt;= 70,"A",Y46&gt;=60,"B",Y46&gt;=50,"C",Y46&gt;=45,"D",Y46&gt;=40,"E",Y46&lt;40,"F")</f>
        <v>B</v>
      </c>
      <c r="Z47" s="50" t="str" cm="1">
        <f t="array" ref="Z47">_xlfn.IFS(Z46&gt;= 70,"A",Z46&gt;=60,"B",Z46&gt;=50,"C",Z46&gt;=45,"D",Z46&gt;=40,"E",Z46&lt;40,"F")</f>
        <v>B</v>
      </c>
      <c r="AA47" s="50" t="str" cm="1">
        <f t="array" ref="AA47">_xlfn.IFS(AA46&gt;= 70,"A",AA46&gt;=60,"B",AA46&gt;=50,"C",AA46&gt;=45,"D",AA46&gt;=40,"E",AA46&lt;40,"F")</f>
        <v>B</v>
      </c>
      <c r="AB47" s="50" t="str" cm="1">
        <f t="array" ref="AB47">_xlfn.IFS(AB46&gt;= 70,"A",AB46&gt;=60,"B",AB46&gt;=50,"C",AB46&gt;=45,"D",AB46&gt;=40,"E",AB46&lt;40,"F")</f>
        <v>B</v>
      </c>
      <c r="AC47" s="50" t="str" cm="1">
        <f t="array" ref="AC47">_xlfn.IFS(AC46&gt;= 70,"A",AC46&gt;=60,"B",AC46&gt;=50,"C",AC46&gt;=45,"D",AC46&gt;=40,"E",AC46&lt;40,"F")</f>
        <v>B</v>
      </c>
      <c r="AD47" s="50" t="str" cm="1">
        <f t="array" ref="AD47">_xlfn.IFS(AD46&gt;= 70,"A",AD46&gt;=60,"B",AD46&gt;=50,"C",AD46&gt;=45,"D",AD46&gt;=40,"E",AD46&lt;40,"F")</f>
        <v>B</v>
      </c>
      <c r="AE47" s="50" t="str" cm="1">
        <f t="array" ref="AE47">_xlfn.IFS(AE46&gt;= 70,"A",AE46&gt;=60,"B",AE46&gt;=50,"C",AE46&gt;=45,"D",AE46&gt;=40,"E",AE46&lt;40,"F")</f>
        <v>B</v>
      </c>
      <c r="AF47" s="50" t="str" cm="1">
        <f t="array" ref="AF47">_xlfn.IFS(AF46&gt;= 70,"A",AF46&gt;=60,"B",AF46&gt;=50,"C",AF46&gt;=45,"D",AF46&gt;=40,"E",AF46&lt;40,"F")</f>
        <v>B</v>
      </c>
      <c r="AG47" s="7"/>
      <c r="AH47" s="48" t="str" cm="1">
        <f t="array" ref="AH47">_xlfn.IFS(AG47&gt;= 70,"A",AG47&gt;=60,"B",AG47&gt;=50,"C",AG47&gt;=45,"D",AG47&gt;=40,"E",AG47&lt;40,"F")</f>
        <v>F</v>
      </c>
      <c r="AI47" s="7"/>
      <c r="AJ47" s="48" t="str" cm="1">
        <f t="array" ref="AJ47">_xlfn.IFS(AI47&gt;= 70,"A",AI47&gt;=60,"B",AI47&gt;=50,"C",AI47&gt;=45,"D",AI47&gt;=40,"E",AI47&lt;40,"F")</f>
        <v>F</v>
      </c>
      <c r="AK47" s="7"/>
      <c r="AL47" s="48" t="str" cm="1">
        <f t="array" ref="AL47">_xlfn.IFS(AK47&gt;= 70,"A",AK47&gt;=60,"B",AK47&gt;=50,"C",AK47&gt;=45,"D",AK47&gt;=40,"E",AK47&lt;40,"F")</f>
        <v>F</v>
      </c>
      <c r="AM47" s="56">
        <f t="shared" ref="AM47" si="77">SUMIFS($I$4:$W$4,I46:W46,"&gt;0")</f>
        <v>23</v>
      </c>
      <c r="AN47" s="47">
        <f t="shared" ref="AN47" si="78">(SUMIFS($I$4:$W$4,I46:W46,"&gt;0")-SUMIFS($I$4:$W$4,I47:W47,"F"))</f>
        <v>23</v>
      </c>
      <c r="AO47" s="56">
        <f t="shared" ref="AO47" si="79">SUMIFS($I$4:$W$4,I47:W47,"F")</f>
        <v>0</v>
      </c>
      <c r="AP47" s="76"/>
      <c r="AQ47" s="74"/>
      <c r="AR47" s="71"/>
    </row>
    <row r="48" spans="1:44" ht="30" customHeight="1" thickTop="1" x14ac:dyDescent="0.3">
      <c r="A48" s="98">
        <v>22</v>
      </c>
      <c r="B48" s="77"/>
      <c r="C48" s="75"/>
      <c r="D48" s="84"/>
      <c r="E48" s="84"/>
      <c r="F48" s="84"/>
      <c r="G48" s="84"/>
      <c r="H48" s="85"/>
      <c r="I48" s="49">
        <v>45</v>
      </c>
      <c r="J48" s="49">
        <v>46</v>
      </c>
      <c r="K48" s="49">
        <v>47</v>
      </c>
      <c r="L48" s="49">
        <v>48</v>
      </c>
      <c r="M48" s="49">
        <v>49</v>
      </c>
      <c r="N48" s="49">
        <v>50</v>
      </c>
      <c r="O48" s="49">
        <v>51</v>
      </c>
      <c r="P48" s="49">
        <v>52</v>
      </c>
      <c r="Q48" s="49">
        <v>53</v>
      </c>
      <c r="R48" s="49">
        <v>54</v>
      </c>
      <c r="S48" s="49">
        <v>55</v>
      </c>
      <c r="T48" s="49">
        <v>56</v>
      </c>
      <c r="U48" s="49">
        <v>57</v>
      </c>
      <c r="V48" s="49">
        <v>58</v>
      </c>
      <c r="W48" s="49">
        <v>59</v>
      </c>
      <c r="X48" s="49">
        <v>60</v>
      </c>
      <c r="Y48" s="49">
        <v>61</v>
      </c>
      <c r="Z48" s="49">
        <v>62</v>
      </c>
      <c r="AA48" s="49">
        <v>63</v>
      </c>
      <c r="AB48" s="49">
        <v>64</v>
      </c>
      <c r="AC48" s="49">
        <v>65</v>
      </c>
      <c r="AD48" s="49">
        <v>66</v>
      </c>
      <c r="AE48" s="49">
        <v>67</v>
      </c>
      <c r="AF48" s="49">
        <v>68</v>
      </c>
      <c r="AG48" s="7"/>
      <c r="AH48" s="48" t="str" cm="1">
        <f t="array" ref="AH48">_xlfn.IFS(AG48&gt;= 70,"A",AG48&gt;=60,"B",AG48&gt;=50,"C",AG48&gt;=45,"D",AG48&gt;=40,"E",AG48&lt;40,"F")</f>
        <v>F</v>
      </c>
      <c r="AI48" s="7"/>
      <c r="AJ48" s="48" t="str" cm="1">
        <f t="array" ref="AJ48">_xlfn.IFS(AI48&gt;= 70,"A",AI48&gt;=60,"B",AI48&gt;=50,"C",AI48&gt;=45,"D",AI48&gt;=40,"E",AI48&lt;40,"F")</f>
        <v>F</v>
      </c>
      <c r="AK48" s="7"/>
      <c r="AL48" s="48" t="str" cm="1">
        <f t="array" ref="AL48">_xlfn.IFS(AK48&gt;= 70,"A",AK48&gt;=60,"B",AK48&gt;=50,"C",AK48&gt;=45,"D",AK48&gt;=40,"E",AK48&lt;40,"F")</f>
        <v>F</v>
      </c>
      <c r="AM48" s="59"/>
      <c r="AN48" s="46"/>
      <c r="AO48" s="59"/>
      <c r="AP48" s="75" cm="1">
        <f t="array" ref="AP48">SUM(VLOOKUP(I49:W49,GRADEPOINT!$A$2:$B$7,2,0)*$I$4:$W$4)</f>
        <v>61</v>
      </c>
      <c r="AQ48" s="73">
        <f t="shared" ref="AQ48" si="80">ROUND(AP48/AM49,2)</f>
        <v>2.65</v>
      </c>
      <c r="AR48" s="72"/>
    </row>
    <row r="49" spans="1:44" ht="30" customHeight="1" thickBot="1" x14ac:dyDescent="0.35">
      <c r="A49" s="99"/>
      <c r="B49" s="83"/>
      <c r="C49" s="86"/>
      <c r="D49" s="87"/>
      <c r="E49" s="87"/>
      <c r="F49" s="87"/>
      <c r="G49" s="87"/>
      <c r="H49" s="88"/>
      <c r="I49" s="50" t="str" cm="1">
        <f t="array" ref="I49">_xlfn.IFS(I48&gt;= 70,"A",I48&gt;=60,"B",I48&gt;=50,"C",I48&gt;=45,"D",I48&gt;=40,"E",I48&lt;40,"F")</f>
        <v>D</v>
      </c>
      <c r="J49" s="50" t="str" cm="1">
        <f t="array" ref="J49">_xlfn.IFS(J48&gt;= 70,"A",J48&gt;=60,"B",J48&gt;=50,"C",J48&gt;=45,"D",J48&gt;=40,"E",J48&lt;40,"F")</f>
        <v>D</v>
      </c>
      <c r="K49" s="50" t="str" cm="1">
        <f t="array" ref="K49">_xlfn.IFS(K48&gt;= 70,"A",K48&gt;=60,"B",K48&gt;=50,"C",K48&gt;=45,"D",K48&gt;=40,"E",K48&lt;40,"F")</f>
        <v>D</v>
      </c>
      <c r="L49" s="50" t="str" cm="1">
        <f t="array" ref="L49">_xlfn.IFS(L48&gt;= 70,"A",L48&gt;=60,"B",L48&gt;=50,"C",L48&gt;=45,"D",L48&gt;=40,"E",L48&lt;40,"F")</f>
        <v>D</v>
      </c>
      <c r="M49" s="50" t="str" cm="1">
        <f t="array" ref="M49">_xlfn.IFS(M48&gt;= 70,"A",M48&gt;=60,"B",M48&gt;=50,"C",M48&gt;=45,"D",M48&gt;=40,"E",M48&lt;40,"F")</f>
        <v>D</v>
      </c>
      <c r="N49" s="50" t="str" cm="1">
        <f t="array" ref="N49">_xlfn.IFS(N48&gt;= 70,"A",N48&gt;=60,"B",N48&gt;=50,"C",N48&gt;=45,"D",N48&gt;=40,"E",N48&lt;40,"F")</f>
        <v>C</v>
      </c>
      <c r="O49" s="50" t="str" cm="1">
        <f t="array" ref="O49">_xlfn.IFS(O48&gt;= 70,"A",O48&gt;=60,"B",O48&gt;=50,"C",O48&gt;=45,"D",O48&gt;=40,"E",O48&lt;40,"F")</f>
        <v>C</v>
      </c>
      <c r="P49" s="50" t="str" cm="1">
        <f t="array" ref="P49">_xlfn.IFS(P48&gt;= 70,"A",P48&gt;=60,"B",P48&gt;=50,"C",P48&gt;=45,"D",P48&gt;=40,"E",P48&lt;40,"F")</f>
        <v>C</v>
      </c>
      <c r="Q49" s="50" t="str" cm="1">
        <f t="array" ref="Q49">_xlfn.IFS(Q48&gt;= 70,"A",Q48&gt;=60,"B",Q48&gt;=50,"C",Q48&gt;=45,"D",Q48&gt;=40,"E",Q48&lt;40,"F")</f>
        <v>C</v>
      </c>
      <c r="R49" s="50" t="str" cm="1">
        <f t="array" ref="R49">_xlfn.IFS(R48&gt;= 70,"A",R48&gt;=60,"B",R48&gt;=50,"C",R48&gt;=45,"D",R48&gt;=40,"E",R48&lt;40,"F")</f>
        <v>C</v>
      </c>
      <c r="S49" s="50" t="str" cm="1">
        <f t="array" ref="S49">_xlfn.IFS(S48&gt;= 70,"A",S48&gt;=60,"B",S48&gt;=50,"C",S48&gt;=45,"D",S48&gt;=40,"E",S48&lt;40,"F")</f>
        <v>C</v>
      </c>
      <c r="T49" s="50" t="str" cm="1">
        <f t="array" ref="T49">_xlfn.IFS(T48&gt;= 70,"A",T48&gt;=60,"B",T48&gt;=50,"C",T48&gt;=45,"D",T48&gt;=40,"E",T48&lt;40,"F")</f>
        <v>C</v>
      </c>
      <c r="U49" s="50" t="str" cm="1">
        <f t="array" ref="U49">_xlfn.IFS(U48&gt;= 70,"A",U48&gt;=60,"B",U48&gt;=50,"C",U48&gt;=45,"D",U48&gt;=40,"E",U48&lt;40,"F")</f>
        <v>C</v>
      </c>
      <c r="V49" s="50" t="str" cm="1">
        <f t="array" ref="V49">_xlfn.IFS(V48&gt;= 70,"A",V48&gt;=60,"B",V48&gt;=50,"C",V48&gt;=45,"D",V48&gt;=40,"E",V48&lt;40,"F")</f>
        <v>C</v>
      </c>
      <c r="W49" s="50" t="str" cm="1">
        <f t="array" ref="W49">_xlfn.IFS(W48&gt;= 70,"A",W48&gt;=60,"B",W48&gt;=50,"C",W48&gt;=45,"D",W48&gt;=40,"E",W48&lt;40,"F")</f>
        <v>C</v>
      </c>
      <c r="X49" s="50" t="str" cm="1">
        <f t="array" ref="X49">_xlfn.IFS(X48&gt;= 70,"A",X48&gt;=60,"B",X48&gt;=50,"C",X48&gt;=45,"D",X48&gt;=40,"E",X48&lt;40,"F")</f>
        <v>B</v>
      </c>
      <c r="Y49" s="50" t="str" cm="1">
        <f t="array" ref="Y49">_xlfn.IFS(Y48&gt;= 70,"A",Y48&gt;=60,"B",Y48&gt;=50,"C",Y48&gt;=45,"D",Y48&gt;=40,"E",Y48&lt;40,"F")</f>
        <v>B</v>
      </c>
      <c r="Z49" s="50" t="str" cm="1">
        <f t="array" ref="Z49">_xlfn.IFS(Z48&gt;= 70,"A",Z48&gt;=60,"B",Z48&gt;=50,"C",Z48&gt;=45,"D",Z48&gt;=40,"E",Z48&lt;40,"F")</f>
        <v>B</v>
      </c>
      <c r="AA49" s="50" t="str" cm="1">
        <f t="array" ref="AA49">_xlfn.IFS(AA48&gt;= 70,"A",AA48&gt;=60,"B",AA48&gt;=50,"C",AA48&gt;=45,"D",AA48&gt;=40,"E",AA48&lt;40,"F")</f>
        <v>B</v>
      </c>
      <c r="AB49" s="50" t="str" cm="1">
        <f t="array" ref="AB49">_xlfn.IFS(AB48&gt;= 70,"A",AB48&gt;=60,"B",AB48&gt;=50,"C",AB48&gt;=45,"D",AB48&gt;=40,"E",AB48&lt;40,"F")</f>
        <v>B</v>
      </c>
      <c r="AC49" s="50" t="str" cm="1">
        <f t="array" ref="AC49">_xlfn.IFS(AC48&gt;= 70,"A",AC48&gt;=60,"B",AC48&gt;=50,"C",AC48&gt;=45,"D",AC48&gt;=40,"E",AC48&lt;40,"F")</f>
        <v>B</v>
      </c>
      <c r="AD49" s="50" t="str" cm="1">
        <f t="array" ref="AD49">_xlfn.IFS(AD48&gt;= 70,"A",AD48&gt;=60,"B",AD48&gt;=50,"C",AD48&gt;=45,"D",AD48&gt;=40,"E",AD48&lt;40,"F")</f>
        <v>B</v>
      </c>
      <c r="AE49" s="50" t="str" cm="1">
        <f t="array" ref="AE49">_xlfn.IFS(AE48&gt;= 70,"A",AE48&gt;=60,"B",AE48&gt;=50,"C",AE48&gt;=45,"D",AE48&gt;=40,"E",AE48&lt;40,"F")</f>
        <v>B</v>
      </c>
      <c r="AF49" s="50" t="str" cm="1">
        <f t="array" ref="AF49">_xlfn.IFS(AF48&gt;= 70,"A",AF48&gt;=60,"B",AF48&gt;=50,"C",AF48&gt;=45,"D",AF48&gt;=40,"E",AF48&lt;40,"F")</f>
        <v>B</v>
      </c>
      <c r="AG49" s="7"/>
      <c r="AH49" s="48" t="str" cm="1">
        <f t="array" ref="AH49">_xlfn.IFS(AG49&gt;= 70,"A",AG49&gt;=60,"B",AG49&gt;=50,"C",AG49&gt;=45,"D",AG49&gt;=40,"E",AG49&lt;40,"F")</f>
        <v>F</v>
      </c>
      <c r="AI49" s="7"/>
      <c r="AJ49" s="48" t="str" cm="1">
        <f t="array" ref="AJ49">_xlfn.IFS(AI49&gt;= 70,"A",AI49&gt;=60,"B",AI49&gt;=50,"C",AI49&gt;=45,"D",AI49&gt;=40,"E",AI49&lt;40,"F")</f>
        <v>F</v>
      </c>
      <c r="AK49" s="7"/>
      <c r="AL49" s="48" t="str" cm="1">
        <f t="array" ref="AL49">_xlfn.IFS(AK49&gt;= 70,"A",AK49&gt;=60,"B",AK49&gt;=50,"C",AK49&gt;=45,"D",AK49&gt;=40,"E",AK49&lt;40,"F")</f>
        <v>F</v>
      </c>
      <c r="AM49" s="56">
        <f t="shared" ref="AM49" si="81">SUMIFS($I$4:$W$4,I48:W48,"&gt;0")</f>
        <v>23</v>
      </c>
      <c r="AN49" s="47">
        <f t="shared" ref="AN49" si="82">(SUMIFS($I$4:$W$4,I48:W48,"&gt;0")-SUMIFS($I$4:$W$4,I49:W49,"F"))</f>
        <v>23</v>
      </c>
      <c r="AO49" s="56">
        <f t="shared" ref="AO49" si="83">SUMIFS($I$4:$W$4,I49:W49,"F")</f>
        <v>0</v>
      </c>
      <c r="AP49" s="76"/>
      <c r="AQ49" s="74"/>
      <c r="AR49" s="71"/>
    </row>
    <row r="50" spans="1:44" ht="30" customHeight="1" thickTop="1" x14ac:dyDescent="0.3">
      <c r="A50" s="98">
        <v>23</v>
      </c>
      <c r="B50" s="77"/>
      <c r="C50" s="75"/>
      <c r="D50" s="84"/>
      <c r="E50" s="84"/>
      <c r="F50" s="84"/>
      <c r="G50" s="84"/>
      <c r="H50" s="85"/>
      <c r="I50" s="49">
        <v>45</v>
      </c>
      <c r="J50" s="49">
        <v>46</v>
      </c>
      <c r="K50" s="49">
        <v>47</v>
      </c>
      <c r="L50" s="49">
        <v>48</v>
      </c>
      <c r="M50" s="49">
        <v>49</v>
      </c>
      <c r="N50" s="49">
        <v>50</v>
      </c>
      <c r="O50" s="49">
        <v>51</v>
      </c>
      <c r="P50" s="49">
        <v>52</v>
      </c>
      <c r="Q50" s="49">
        <v>53</v>
      </c>
      <c r="R50" s="49">
        <v>54</v>
      </c>
      <c r="S50" s="49">
        <v>55</v>
      </c>
      <c r="T50" s="49">
        <v>56</v>
      </c>
      <c r="U50" s="49">
        <v>57</v>
      </c>
      <c r="V50" s="49">
        <v>58</v>
      </c>
      <c r="W50" s="49">
        <v>59</v>
      </c>
      <c r="X50" s="49">
        <v>60</v>
      </c>
      <c r="Y50" s="49">
        <v>61</v>
      </c>
      <c r="Z50" s="49">
        <v>62</v>
      </c>
      <c r="AA50" s="49">
        <v>63</v>
      </c>
      <c r="AB50" s="49">
        <v>64</v>
      </c>
      <c r="AC50" s="49">
        <v>65</v>
      </c>
      <c r="AD50" s="49">
        <v>66</v>
      </c>
      <c r="AE50" s="49">
        <v>67</v>
      </c>
      <c r="AF50" s="49">
        <v>68</v>
      </c>
      <c r="AG50" s="7"/>
      <c r="AH50" s="48" t="str" cm="1">
        <f t="array" ref="AH50">_xlfn.IFS(AG50&gt;= 70,"A",AG50&gt;=60,"B",AG50&gt;=50,"C",AG50&gt;=45,"D",AG50&gt;=40,"E",AG50&lt;40,"F")</f>
        <v>F</v>
      </c>
      <c r="AI50" s="7"/>
      <c r="AJ50" s="48" t="str" cm="1">
        <f t="array" ref="AJ50">_xlfn.IFS(AI50&gt;= 70,"A",AI50&gt;=60,"B",AI50&gt;=50,"C",AI50&gt;=45,"D",AI50&gt;=40,"E",AI50&lt;40,"F")</f>
        <v>F</v>
      </c>
      <c r="AK50" s="7"/>
      <c r="AL50" s="48" t="str" cm="1">
        <f t="array" ref="AL50">_xlfn.IFS(AK50&gt;= 70,"A",AK50&gt;=60,"B",AK50&gt;=50,"C",AK50&gt;=45,"D",AK50&gt;=40,"E",AK50&lt;40,"F")</f>
        <v>F</v>
      </c>
      <c r="AM50" s="59"/>
      <c r="AN50" s="46"/>
      <c r="AO50" s="59"/>
      <c r="AP50" s="75" cm="1">
        <f t="array" ref="AP50">SUM(VLOOKUP(I51:W51,GRADEPOINT!$A$2:$B$7,2,0)*$I$4:$W$4)</f>
        <v>61</v>
      </c>
      <c r="AQ50" s="73">
        <f t="shared" ref="AQ50" si="84">ROUND(AP50/AM51,2)</f>
        <v>2.65</v>
      </c>
      <c r="AR50" s="72"/>
    </row>
    <row r="51" spans="1:44" ht="30" customHeight="1" thickBot="1" x14ac:dyDescent="0.35">
      <c r="A51" s="99"/>
      <c r="B51" s="83"/>
      <c r="C51" s="86"/>
      <c r="D51" s="87"/>
      <c r="E51" s="87"/>
      <c r="F51" s="87"/>
      <c r="G51" s="87"/>
      <c r="H51" s="88"/>
      <c r="I51" s="50" t="str" cm="1">
        <f t="array" ref="I51">_xlfn.IFS(I50&gt;= 70,"A",I50&gt;=60,"B",I50&gt;=50,"C",I50&gt;=45,"D",I50&gt;=40,"E",I50&lt;40,"F")</f>
        <v>D</v>
      </c>
      <c r="J51" s="50" t="str" cm="1">
        <f t="array" ref="J51">_xlfn.IFS(J50&gt;= 70,"A",J50&gt;=60,"B",J50&gt;=50,"C",J50&gt;=45,"D",J50&gt;=40,"E",J50&lt;40,"F")</f>
        <v>D</v>
      </c>
      <c r="K51" s="50" t="str" cm="1">
        <f t="array" ref="K51">_xlfn.IFS(K50&gt;= 70,"A",K50&gt;=60,"B",K50&gt;=50,"C",K50&gt;=45,"D",K50&gt;=40,"E",K50&lt;40,"F")</f>
        <v>D</v>
      </c>
      <c r="L51" s="50" t="str" cm="1">
        <f t="array" ref="L51">_xlfn.IFS(L50&gt;= 70,"A",L50&gt;=60,"B",L50&gt;=50,"C",L50&gt;=45,"D",L50&gt;=40,"E",L50&lt;40,"F")</f>
        <v>D</v>
      </c>
      <c r="M51" s="50" t="str" cm="1">
        <f t="array" ref="M51">_xlfn.IFS(M50&gt;= 70,"A",M50&gt;=60,"B",M50&gt;=50,"C",M50&gt;=45,"D",M50&gt;=40,"E",M50&lt;40,"F")</f>
        <v>D</v>
      </c>
      <c r="N51" s="50" t="str" cm="1">
        <f t="array" ref="N51">_xlfn.IFS(N50&gt;= 70,"A",N50&gt;=60,"B",N50&gt;=50,"C",N50&gt;=45,"D",N50&gt;=40,"E",N50&lt;40,"F")</f>
        <v>C</v>
      </c>
      <c r="O51" s="50" t="str" cm="1">
        <f t="array" ref="O51">_xlfn.IFS(O50&gt;= 70,"A",O50&gt;=60,"B",O50&gt;=50,"C",O50&gt;=45,"D",O50&gt;=40,"E",O50&lt;40,"F")</f>
        <v>C</v>
      </c>
      <c r="P51" s="50" t="str" cm="1">
        <f t="array" ref="P51">_xlfn.IFS(P50&gt;= 70,"A",P50&gt;=60,"B",P50&gt;=50,"C",P50&gt;=45,"D",P50&gt;=40,"E",P50&lt;40,"F")</f>
        <v>C</v>
      </c>
      <c r="Q51" s="50" t="str" cm="1">
        <f t="array" ref="Q51">_xlfn.IFS(Q50&gt;= 70,"A",Q50&gt;=60,"B",Q50&gt;=50,"C",Q50&gt;=45,"D",Q50&gt;=40,"E",Q50&lt;40,"F")</f>
        <v>C</v>
      </c>
      <c r="R51" s="50" t="str" cm="1">
        <f t="array" ref="R51">_xlfn.IFS(R50&gt;= 70,"A",R50&gt;=60,"B",R50&gt;=50,"C",R50&gt;=45,"D",R50&gt;=40,"E",R50&lt;40,"F")</f>
        <v>C</v>
      </c>
      <c r="S51" s="50" t="str" cm="1">
        <f t="array" ref="S51">_xlfn.IFS(S50&gt;= 70,"A",S50&gt;=60,"B",S50&gt;=50,"C",S50&gt;=45,"D",S50&gt;=40,"E",S50&lt;40,"F")</f>
        <v>C</v>
      </c>
      <c r="T51" s="50" t="str" cm="1">
        <f t="array" ref="T51">_xlfn.IFS(T50&gt;= 70,"A",T50&gt;=60,"B",T50&gt;=50,"C",T50&gt;=45,"D",T50&gt;=40,"E",T50&lt;40,"F")</f>
        <v>C</v>
      </c>
      <c r="U51" s="50" t="str" cm="1">
        <f t="array" ref="U51">_xlfn.IFS(U50&gt;= 70,"A",U50&gt;=60,"B",U50&gt;=50,"C",U50&gt;=45,"D",U50&gt;=40,"E",U50&lt;40,"F")</f>
        <v>C</v>
      </c>
      <c r="V51" s="50" t="str" cm="1">
        <f t="array" ref="V51">_xlfn.IFS(V50&gt;= 70,"A",V50&gt;=60,"B",V50&gt;=50,"C",V50&gt;=45,"D",V50&gt;=40,"E",V50&lt;40,"F")</f>
        <v>C</v>
      </c>
      <c r="W51" s="50" t="str" cm="1">
        <f t="array" ref="W51">_xlfn.IFS(W50&gt;= 70,"A",W50&gt;=60,"B",W50&gt;=50,"C",W50&gt;=45,"D",W50&gt;=40,"E",W50&lt;40,"F")</f>
        <v>C</v>
      </c>
      <c r="X51" s="50" t="str" cm="1">
        <f t="array" ref="X51">_xlfn.IFS(X50&gt;= 70,"A",X50&gt;=60,"B",X50&gt;=50,"C",X50&gt;=45,"D",X50&gt;=40,"E",X50&lt;40,"F")</f>
        <v>B</v>
      </c>
      <c r="Y51" s="50" t="str" cm="1">
        <f t="array" ref="Y51">_xlfn.IFS(Y50&gt;= 70,"A",Y50&gt;=60,"B",Y50&gt;=50,"C",Y50&gt;=45,"D",Y50&gt;=40,"E",Y50&lt;40,"F")</f>
        <v>B</v>
      </c>
      <c r="Z51" s="50" t="str" cm="1">
        <f t="array" ref="Z51">_xlfn.IFS(Z50&gt;= 70,"A",Z50&gt;=60,"B",Z50&gt;=50,"C",Z50&gt;=45,"D",Z50&gt;=40,"E",Z50&lt;40,"F")</f>
        <v>B</v>
      </c>
      <c r="AA51" s="50" t="str" cm="1">
        <f t="array" ref="AA51">_xlfn.IFS(AA50&gt;= 70,"A",AA50&gt;=60,"B",AA50&gt;=50,"C",AA50&gt;=45,"D",AA50&gt;=40,"E",AA50&lt;40,"F")</f>
        <v>B</v>
      </c>
      <c r="AB51" s="50" t="str" cm="1">
        <f t="array" ref="AB51">_xlfn.IFS(AB50&gt;= 70,"A",AB50&gt;=60,"B",AB50&gt;=50,"C",AB50&gt;=45,"D",AB50&gt;=40,"E",AB50&lt;40,"F")</f>
        <v>B</v>
      </c>
      <c r="AC51" s="50" t="str" cm="1">
        <f t="array" ref="AC51">_xlfn.IFS(AC50&gt;= 70,"A",AC50&gt;=60,"B",AC50&gt;=50,"C",AC50&gt;=45,"D",AC50&gt;=40,"E",AC50&lt;40,"F")</f>
        <v>B</v>
      </c>
      <c r="AD51" s="50" t="str" cm="1">
        <f t="array" ref="AD51">_xlfn.IFS(AD50&gt;= 70,"A",AD50&gt;=60,"B",AD50&gt;=50,"C",AD50&gt;=45,"D",AD50&gt;=40,"E",AD50&lt;40,"F")</f>
        <v>B</v>
      </c>
      <c r="AE51" s="50" t="str" cm="1">
        <f t="array" ref="AE51">_xlfn.IFS(AE50&gt;= 70,"A",AE50&gt;=60,"B",AE50&gt;=50,"C",AE50&gt;=45,"D",AE50&gt;=40,"E",AE50&lt;40,"F")</f>
        <v>B</v>
      </c>
      <c r="AF51" s="50" t="str" cm="1">
        <f t="array" ref="AF51">_xlfn.IFS(AF50&gt;= 70,"A",AF50&gt;=60,"B",AF50&gt;=50,"C",AF50&gt;=45,"D",AF50&gt;=40,"E",AF50&lt;40,"F")</f>
        <v>B</v>
      </c>
      <c r="AG51" s="7"/>
      <c r="AH51" s="48" t="str" cm="1">
        <f t="array" ref="AH51">_xlfn.IFS(AG51&gt;= 70,"A",AG51&gt;=60,"B",AG51&gt;=50,"C",AG51&gt;=45,"D",AG51&gt;=40,"E",AG51&lt;40,"F")</f>
        <v>F</v>
      </c>
      <c r="AI51" s="7"/>
      <c r="AJ51" s="48" t="str" cm="1">
        <f t="array" ref="AJ51">_xlfn.IFS(AI51&gt;= 70,"A",AI51&gt;=60,"B",AI51&gt;=50,"C",AI51&gt;=45,"D",AI51&gt;=40,"E",AI51&lt;40,"F")</f>
        <v>F</v>
      </c>
      <c r="AK51" s="7"/>
      <c r="AL51" s="48" t="str" cm="1">
        <f t="array" ref="AL51">_xlfn.IFS(AK51&gt;= 70,"A",AK51&gt;=60,"B",AK51&gt;=50,"C",AK51&gt;=45,"D",AK51&gt;=40,"E",AK51&lt;40,"F")</f>
        <v>F</v>
      </c>
      <c r="AM51" s="56">
        <f t="shared" ref="AM51" si="85">SUMIFS($I$4:$W$4,I50:W50,"&gt;0")</f>
        <v>23</v>
      </c>
      <c r="AN51" s="47">
        <f t="shared" ref="AN51" si="86">(SUMIFS($I$4:$W$4,I50:W50,"&gt;0")-SUMIFS($I$4:$W$4,I51:W51,"F"))</f>
        <v>23</v>
      </c>
      <c r="AO51" s="56">
        <f t="shared" ref="AO51" si="87">SUMIFS($I$4:$W$4,I51:W51,"F")</f>
        <v>0</v>
      </c>
      <c r="AP51" s="76"/>
      <c r="AQ51" s="74"/>
      <c r="AR51" s="71"/>
    </row>
    <row r="52" spans="1:44" ht="30" customHeight="1" thickTop="1" x14ac:dyDescent="0.3">
      <c r="A52" s="98">
        <v>24</v>
      </c>
      <c r="B52" s="77"/>
      <c r="C52" s="75"/>
      <c r="D52" s="84"/>
      <c r="E52" s="84"/>
      <c r="F52" s="84"/>
      <c r="G52" s="84"/>
      <c r="H52" s="84"/>
      <c r="I52" s="49">
        <v>45</v>
      </c>
      <c r="J52" s="49">
        <v>46</v>
      </c>
      <c r="K52" s="49">
        <v>47</v>
      </c>
      <c r="L52" s="49">
        <v>48</v>
      </c>
      <c r="M52" s="49">
        <v>49</v>
      </c>
      <c r="N52" s="49">
        <v>50</v>
      </c>
      <c r="O52" s="49">
        <v>51</v>
      </c>
      <c r="P52" s="49">
        <v>52</v>
      </c>
      <c r="Q52" s="49">
        <v>53</v>
      </c>
      <c r="R52" s="49">
        <v>54</v>
      </c>
      <c r="S52" s="49">
        <v>55</v>
      </c>
      <c r="T52" s="49">
        <v>56</v>
      </c>
      <c r="U52" s="49">
        <v>57</v>
      </c>
      <c r="V52" s="49">
        <v>58</v>
      </c>
      <c r="W52" s="49">
        <v>59</v>
      </c>
      <c r="X52" s="49">
        <v>60</v>
      </c>
      <c r="Y52" s="49">
        <v>61</v>
      </c>
      <c r="Z52" s="49">
        <v>62</v>
      </c>
      <c r="AA52" s="49">
        <v>63</v>
      </c>
      <c r="AB52" s="49">
        <v>64</v>
      </c>
      <c r="AC52" s="49">
        <v>65</v>
      </c>
      <c r="AD52" s="49">
        <v>66</v>
      </c>
      <c r="AE52" s="49">
        <v>67</v>
      </c>
      <c r="AF52" s="49">
        <v>68</v>
      </c>
      <c r="AG52" s="7"/>
      <c r="AH52" s="48" t="str" cm="1">
        <f t="array" ref="AH52">_xlfn.IFS(AG52&gt;= 70,"A",AG52&gt;=60,"B",AG52&gt;=50,"C",AG52&gt;=45,"D",AG52&gt;=40,"E",AG52&lt;40,"F")</f>
        <v>F</v>
      </c>
      <c r="AI52" s="7"/>
      <c r="AJ52" s="48" t="str" cm="1">
        <f t="array" ref="AJ52">_xlfn.IFS(AI52&gt;= 70,"A",AI52&gt;=60,"B",AI52&gt;=50,"C",AI52&gt;=45,"D",AI52&gt;=40,"E",AI52&lt;40,"F")</f>
        <v>F</v>
      </c>
      <c r="AK52" s="7"/>
      <c r="AL52" s="48" t="str" cm="1">
        <f t="array" ref="AL52">_xlfn.IFS(AK52&gt;= 70,"A",AK52&gt;=60,"B",AK52&gt;=50,"C",AK52&gt;=45,"D",AK52&gt;=40,"E",AK52&lt;40,"F")</f>
        <v>F</v>
      </c>
      <c r="AM52" s="59"/>
      <c r="AN52" s="46"/>
      <c r="AO52" s="59"/>
      <c r="AP52" s="75" cm="1">
        <f t="array" ref="AP52">SUM(VLOOKUP(I53:W53,GRADEPOINT!$A$2:$B$7,2,0)*$I$4:$W$4)</f>
        <v>61</v>
      </c>
      <c r="AQ52" s="73">
        <f t="shared" ref="AQ52" si="88">ROUND(AP52/AM53,2)</f>
        <v>2.65</v>
      </c>
      <c r="AR52" s="72"/>
    </row>
    <row r="53" spans="1:44" ht="30" customHeight="1" thickBot="1" x14ac:dyDescent="0.35">
      <c r="A53" s="99"/>
      <c r="B53" s="83"/>
      <c r="C53" s="95"/>
      <c r="D53" s="96"/>
      <c r="E53" s="96"/>
      <c r="F53" s="96"/>
      <c r="G53" s="96"/>
      <c r="H53" s="96"/>
      <c r="I53" s="50" t="str" cm="1">
        <f t="array" ref="I53">_xlfn.IFS(I52&gt;= 70,"A",I52&gt;=60,"B",I52&gt;=50,"C",I52&gt;=45,"D",I52&gt;=40,"E",I52&lt;40,"F")</f>
        <v>D</v>
      </c>
      <c r="J53" s="50" t="str" cm="1">
        <f t="array" ref="J53">_xlfn.IFS(J52&gt;= 70,"A",J52&gt;=60,"B",J52&gt;=50,"C",J52&gt;=45,"D",J52&gt;=40,"E",J52&lt;40,"F")</f>
        <v>D</v>
      </c>
      <c r="K53" s="50" t="str" cm="1">
        <f t="array" ref="K53">_xlfn.IFS(K52&gt;= 70,"A",K52&gt;=60,"B",K52&gt;=50,"C",K52&gt;=45,"D",K52&gt;=40,"E",K52&lt;40,"F")</f>
        <v>D</v>
      </c>
      <c r="L53" s="50" t="str" cm="1">
        <f t="array" ref="L53">_xlfn.IFS(L52&gt;= 70,"A",L52&gt;=60,"B",L52&gt;=50,"C",L52&gt;=45,"D",L52&gt;=40,"E",L52&lt;40,"F")</f>
        <v>D</v>
      </c>
      <c r="M53" s="50" t="str" cm="1">
        <f t="array" ref="M53">_xlfn.IFS(M52&gt;= 70,"A",M52&gt;=60,"B",M52&gt;=50,"C",M52&gt;=45,"D",M52&gt;=40,"E",M52&lt;40,"F")</f>
        <v>D</v>
      </c>
      <c r="N53" s="50" t="str" cm="1">
        <f t="array" ref="N53">_xlfn.IFS(N52&gt;= 70,"A",N52&gt;=60,"B",N52&gt;=50,"C",N52&gt;=45,"D",N52&gt;=40,"E",N52&lt;40,"F")</f>
        <v>C</v>
      </c>
      <c r="O53" s="50" t="str" cm="1">
        <f t="array" ref="O53">_xlfn.IFS(O52&gt;= 70,"A",O52&gt;=60,"B",O52&gt;=50,"C",O52&gt;=45,"D",O52&gt;=40,"E",O52&lt;40,"F")</f>
        <v>C</v>
      </c>
      <c r="P53" s="50" t="str" cm="1">
        <f t="array" ref="P53">_xlfn.IFS(P52&gt;= 70,"A",P52&gt;=60,"B",P52&gt;=50,"C",P52&gt;=45,"D",P52&gt;=40,"E",P52&lt;40,"F")</f>
        <v>C</v>
      </c>
      <c r="Q53" s="50" t="str" cm="1">
        <f t="array" ref="Q53">_xlfn.IFS(Q52&gt;= 70,"A",Q52&gt;=60,"B",Q52&gt;=50,"C",Q52&gt;=45,"D",Q52&gt;=40,"E",Q52&lt;40,"F")</f>
        <v>C</v>
      </c>
      <c r="R53" s="50" t="str" cm="1">
        <f t="array" ref="R53">_xlfn.IFS(R52&gt;= 70,"A",R52&gt;=60,"B",R52&gt;=50,"C",R52&gt;=45,"D",R52&gt;=40,"E",R52&lt;40,"F")</f>
        <v>C</v>
      </c>
      <c r="S53" s="50" t="str" cm="1">
        <f t="array" ref="S53">_xlfn.IFS(S52&gt;= 70,"A",S52&gt;=60,"B",S52&gt;=50,"C",S52&gt;=45,"D",S52&gt;=40,"E",S52&lt;40,"F")</f>
        <v>C</v>
      </c>
      <c r="T53" s="50" t="str" cm="1">
        <f t="array" ref="T53">_xlfn.IFS(T52&gt;= 70,"A",T52&gt;=60,"B",T52&gt;=50,"C",T52&gt;=45,"D",T52&gt;=40,"E",T52&lt;40,"F")</f>
        <v>C</v>
      </c>
      <c r="U53" s="50" t="str" cm="1">
        <f t="array" ref="U53">_xlfn.IFS(U52&gt;= 70,"A",U52&gt;=60,"B",U52&gt;=50,"C",U52&gt;=45,"D",U52&gt;=40,"E",U52&lt;40,"F")</f>
        <v>C</v>
      </c>
      <c r="V53" s="50" t="str" cm="1">
        <f t="array" ref="V53">_xlfn.IFS(V52&gt;= 70,"A",V52&gt;=60,"B",V52&gt;=50,"C",V52&gt;=45,"D",V52&gt;=40,"E",V52&lt;40,"F")</f>
        <v>C</v>
      </c>
      <c r="W53" s="50" t="str" cm="1">
        <f t="array" ref="W53">_xlfn.IFS(W52&gt;= 70,"A",W52&gt;=60,"B",W52&gt;=50,"C",W52&gt;=45,"D",W52&gt;=40,"E",W52&lt;40,"F")</f>
        <v>C</v>
      </c>
      <c r="X53" s="50" t="str" cm="1">
        <f t="array" ref="X53">_xlfn.IFS(X52&gt;= 70,"A",X52&gt;=60,"B",X52&gt;=50,"C",X52&gt;=45,"D",X52&gt;=40,"E",X52&lt;40,"F")</f>
        <v>B</v>
      </c>
      <c r="Y53" s="50" t="str" cm="1">
        <f t="array" ref="Y53">_xlfn.IFS(Y52&gt;= 70,"A",Y52&gt;=60,"B",Y52&gt;=50,"C",Y52&gt;=45,"D",Y52&gt;=40,"E",Y52&lt;40,"F")</f>
        <v>B</v>
      </c>
      <c r="Z53" s="50" t="str" cm="1">
        <f t="array" ref="Z53">_xlfn.IFS(Z52&gt;= 70,"A",Z52&gt;=60,"B",Z52&gt;=50,"C",Z52&gt;=45,"D",Z52&gt;=40,"E",Z52&lt;40,"F")</f>
        <v>B</v>
      </c>
      <c r="AA53" s="50" t="str" cm="1">
        <f t="array" ref="AA53">_xlfn.IFS(AA52&gt;= 70,"A",AA52&gt;=60,"B",AA52&gt;=50,"C",AA52&gt;=45,"D",AA52&gt;=40,"E",AA52&lt;40,"F")</f>
        <v>B</v>
      </c>
      <c r="AB53" s="50" t="str" cm="1">
        <f t="array" ref="AB53">_xlfn.IFS(AB52&gt;= 70,"A",AB52&gt;=60,"B",AB52&gt;=50,"C",AB52&gt;=45,"D",AB52&gt;=40,"E",AB52&lt;40,"F")</f>
        <v>B</v>
      </c>
      <c r="AC53" s="50" t="str" cm="1">
        <f t="array" ref="AC53">_xlfn.IFS(AC52&gt;= 70,"A",AC52&gt;=60,"B",AC52&gt;=50,"C",AC52&gt;=45,"D",AC52&gt;=40,"E",AC52&lt;40,"F")</f>
        <v>B</v>
      </c>
      <c r="AD53" s="50" t="str" cm="1">
        <f t="array" ref="AD53">_xlfn.IFS(AD52&gt;= 70,"A",AD52&gt;=60,"B",AD52&gt;=50,"C",AD52&gt;=45,"D",AD52&gt;=40,"E",AD52&lt;40,"F")</f>
        <v>B</v>
      </c>
      <c r="AE53" s="50" t="str" cm="1">
        <f t="array" ref="AE53">_xlfn.IFS(AE52&gt;= 70,"A",AE52&gt;=60,"B",AE52&gt;=50,"C",AE52&gt;=45,"D",AE52&gt;=40,"E",AE52&lt;40,"F")</f>
        <v>B</v>
      </c>
      <c r="AF53" s="50" t="str" cm="1">
        <f t="array" ref="AF53">_xlfn.IFS(AF52&gt;= 70,"A",AF52&gt;=60,"B",AF52&gt;=50,"C",AF52&gt;=45,"D",AF52&gt;=40,"E",AF52&lt;40,"F")</f>
        <v>B</v>
      </c>
      <c r="AG53" s="7"/>
      <c r="AH53" s="48" t="str" cm="1">
        <f t="array" ref="AH53">_xlfn.IFS(AG53&gt;= 70,"A",AG53&gt;=60,"B",AG53&gt;=50,"C",AG53&gt;=45,"D",AG53&gt;=40,"E",AG53&lt;40,"F")</f>
        <v>F</v>
      </c>
      <c r="AI53" s="7"/>
      <c r="AJ53" s="48" t="str" cm="1">
        <f t="array" ref="AJ53">_xlfn.IFS(AI53&gt;= 70,"A",AI53&gt;=60,"B",AI53&gt;=50,"C",AI53&gt;=45,"D",AI53&gt;=40,"E",AI53&lt;40,"F")</f>
        <v>F</v>
      </c>
      <c r="AK53" s="7"/>
      <c r="AL53" s="48" t="str" cm="1">
        <f t="array" ref="AL53">_xlfn.IFS(AK53&gt;= 70,"A",AK53&gt;=60,"B",AK53&gt;=50,"C",AK53&gt;=45,"D",AK53&gt;=40,"E",AK53&lt;40,"F")</f>
        <v>F</v>
      </c>
      <c r="AM53" s="56">
        <f t="shared" ref="AM53" si="89">SUMIFS($I$4:$W$4,I52:W52,"&gt;0")</f>
        <v>23</v>
      </c>
      <c r="AN53" s="47">
        <f t="shared" ref="AN53" si="90">(SUMIFS($I$4:$W$4,I52:W52,"&gt;0")-SUMIFS($I$4:$W$4,I53:W53,"F"))</f>
        <v>23</v>
      </c>
      <c r="AO53" s="56">
        <f t="shared" ref="AO53" si="91">SUMIFS($I$4:$W$4,I53:W53,"F")</f>
        <v>0</v>
      </c>
      <c r="AP53" s="76"/>
      <c r="AQ53" s="74"/>
      <c r="AR53" s="71"/>
    </row>
    <row r="54" spans="1:44" ht="30" customHeight="1" thickTop="1" x14ac:dyDescent="0.3">
      <c r="A54" s="98">
        <v>25</v>
      </c>
      <c r="B54" s="77"/>
      <c r="C54" s="75"/>
      <c r="D54" s="84"/>
      <c r="E54" s="84"/>
      <c r="F54" s="84"/>
      <c r="G54" s="84"/>
      <c r="H54" s="84"/>
      <c r="I54" s="49">
        <v>45</v>
      </c>
      <c r="J54" s="49">
        <v>46</v>
      </c>
      <c r="K54" s="49">
        <v>47</v>
      </c>
      <c r="L54" s="49">
        <v>48</v>
      </c>
      <c r="M54" s="49">
        <v>49</v>
      </c>
      <c r="N54" s="49">
        <v>50</v>
      </c>
      <c r="O54" s="49">
        <v>51</v>
      </c>
      <c r="P54" s="49">
        <v>52</v>
      </c>
      <c r="Q54" s="49">
        <v>53</v>
      </c>
      <c r="R54" s="49">
        <v>54</v>
      </c>
      <c r="S54" s="49">
        <v>55</v>
      </c>
      <c r="T54" s="49">
        <v>56</v>
      </c>
      <c r="U54" s="49">
        <v>57</v>
      </c>
      <c r="V54" s="49">
        <v>58</v>
      </c>
      <c r="W54" s="49">
        <v>59</v>
      </c>
      <c r="X54" s="49">
        <v>60</v>
      </c>
      <c r="Y54" s="49">
        <v>61</v>
      </c>
      <c r="Z54" s="49">
        <v>62</v>
      </c>
      <c r="AA54" s="49">
        <v>63</v>
      </c>
      <c r="AB54" s="49">
        <v>64</v>
      </c>
      <c r="AC54" s="49">
        <v>65</v>
      </c>
      <c r="AD54" s="49">
        <v>66</v>
      </c>
      <c r="AE54" s="49">
        <v>67</v>
      </c>
      <c r="AF54" s="49">
        <v>68</v>
      </c>
      <c r="AG54" s="7"/>
      <c r="AH54" s="48" t="str" cm="1">
        <f t="array" ref="AH54">_xlfn.IFS(AG54&gt;= 70,"A",AG54&gt;=60,"B",AG54&gt;=50,"C",AG54&gt;=45,"D",AG54&gt;=40,"E",AG54&lt;40,"F")</f>
        <v>F</v>
      </c>
      <c r="AI54" s="7"/>
      <c r="AJ54" s="48" t="str" cm="1">
        <f t="array" ref="AJ54">_xlfn.IFS(AI54&gt;= 70,"A",AI54&gt;=60,"B",AI54&gt;=50,"C",AI54&gt;=45,"D",AI54&gt;=40,"E",AI54&lt;40,"F")</f>
        <v>F</v>
      </c>
      <c r="AK54" s="7"/>
      <c r="AL54" s="48" t="str" cm="1">
        <f t="array" ref="AL54">_xlfn.IFS(AK54&gt;= 70,"A",AK54&gt;=60,"B",AK54&gt;=50,"C",AK54&gt;=45,"D",AK54&gt;=40,"E",AK54&lt;40,"F")</f>
        <v>F</v>
      </c>
      <c r="AM54" s="59"/>
      <c r="AN54" s="46"/>
      <c r="AO54" s="59"/>
      <c r="AP54" s="75" cm="1">
        <f t="array" ref="AP54">SUM(VLOOKUP(I55:W55,GRADEPOINT!$A$2:$B$7,2,0)*$I$4:$W$4)</f>
        <v>61</v>
      </c>
      <c r="AQ54" s="73">
        <f t="shared" ref="AQ54" si="92">ROUND(AP54/AM55,2)</f>
        <v>2.65</v>
      </c>
      <c r="AR54" s="72"/>
    </row>
    <row r="55" spans="1:44" ht="30" customHeight="1" thickBot="1" x14ac:dyDescent="0.35">
      <c r="A55" s="99"/>
      <c r="B55" s="83"/>
      <c r="C55" s="95"/>
      <c r="D55" s="96"/>
      <c r="E55" s="96"/>
      <c r="F55" s="96"/>
      <c r="G55" s="96"/>
      <c r="H55" s="96"/>
      <c r="I55" s="50" t="str" cm="1">
        <f t="array" ref="I55">_xlfn.IFS(I54&gt;= 70,"A",I54&gt;=60,"B",I54&gt;=50,"C",I54&gt;=45,"D",I54&gt;=40,"E",I54&lt;40,"F")</f>
        <v>D</v>
      </c>
      <c r="J55" s="50" t="str" cm="1">
        <f t="array" ref="J55">_xlfn.IFS(J54&gt;= 70,"A",J54&gt;=60,"B",J54&gt;=50,"C",J54&gt;=45,"D",J54&gt;=40,"E",J54&lt;40,"F")</f>
        <v>D</v>
      </c>
      <c r="K55" s="50" t="str" cm="1">
        <f t="array" ref="K55">_xlfn.IFS(K54&gt;= 70,"A",K54&gt;=60,"B",K54&gt;=50,"C",K54&gt;=45,"D",K54&gt;=40,"E",K54&lt;40,"F")</f>
        <v>D</v>
      </c>
      <c r="L55" s="50" t="str" cm="1">
        <f t="array" ref="L55">_xlfn.IFS(L54&gt;= 70,"A",L54&gt;=60,"B",L54&gt;=50,"C",L54&gt;=45,"D",L54&gt;=40,"E",L54&lt;40,"F")</f>
        <v>D</v>
      </c>
      <c r="M55" s="50" t="str" cm="1">
        <f t="array" ref="M55">_xlfn.IFS(M54&gt;= 70,"A",M54&gt;=60,"B",M54&gt;=50,"C",M54&gt;=45,"D",M54&gt;=40,"E",M54&lt;40,"F")</f>
        <v>D</v>
      </c>
      <c r="N55" s="50" t="str" cm="1">
        <f t="array" ref="N55">_xlfn.IFS(N54&gt;= 70,"A",N54&gt;=60,"B",N54&gt;=50,"C",N54&gt;=45,"D",N54&gt;=40,"E",N54&lt;40,"F")</f>
        <v>C</v>
      </c>
      <c r="O55" s="50" t="str" cm="1">
        <f t="array" ref="O55">_xlfn.IFS(O54&gt;= 70,"A",O54&gt;=60,"B",O54&gt;=50,"C",O54&gt;=45,"D",O54&gt;=40,"E",O54&lt;40,"F")</f>
        <v>C</v>
      </c>
      <c r="P55" s="50" t="str" cm="1">
        <f t="array" ref="P55">_xlfn.IFS(P54&gt;= 70,"A",P54&gt;=60,"B",P54&gt;=50,"C",P54&gt;=45,"D",P54&gt;=40,"E",P54&lt;40,"F")</f>
        <v>C</v>
      </c>
      <c r="Q55" s="50" t="str" cm="1">
        <f t="array" ref="Q55">_xlfn.IFS(Q54&gt;= 70,"A",Q54&gt;=60,"B",Q54&gt;=50,"C",Q54&gt;=45,"D",Q54&gt;=40,"E",Q54&lt;40,"F")</f>
        <v>C</v>
      </c>
      <c r="R55" s="50" t="str" cm="1">
        <f t="array" ref="R55">_xlfn.IFS(R54&gt;= 70,"A",R54&gt;=60,"B",R54&gt;=50,"C",R54&gt;=45,"D",R54&gt;=40,"E",R54&lt;40,"F")</f>
        <v>C</v>
      </c>
      <c r="S55" s="50" t="str" cm="1">
        <f t="array" ref="S55">_xlfn.IFS(S54&gt;= 70,"A",S54&gt;=60,"B",S54&gt;=50,"C",S54&gt;=45,"D",S54&gt;=40,"E",S54&lt;40,"F")</f>
        <v>C</v>
      </c>
      <c r="T55" s="50" t="str" cm="1">
        <f t="array" ref="T55">_xlfn.IFS(T54&gt;= 70,"A",T54&gt;=60,"B",T54&gt;=50,"C",T54&gt;=45,"D",T54&gt;=40,"E",T54&lt;40,"F")</f>
        <v>C</v>
      </c>
      <c r="U55" s="50" t="str" cm="1">
        <f t="array" ref="U55">_xlfn.IFS(U54&gt;= 70,"A",U54&gt;=60,"B",U54&gt;=50,"C",U54&gt;=45,"D",U54&gt;=40,"E",U54&lt;40,"F")</f>
        <v>C</v>
      </c>
      <c r="V55" s="50" t="str" cm="1">
        <f t="array" ref="V55">_xlfn.IFS(V54&gt;= 70,"A",V54&gt;=60,"B",V54&gt;=50,"C",V54&gt;=45,"D",V54&gt;=40,"E",V54&lt;40,"F")</f>
        <v>C</v>
      </c>
      <c r="W55" s="50" t="str" cm="1">
        <f t="array" ref="W55">_xlfn.IFS(W54&gt;= 70,"A",W54&gt;=60,"B",W54&gt;=50,"C",W54&gt;=45,"D",W54&gt;=40,"E",W54&lt;40,"F")</f>
        <v>C</v>
      </c>
      <c r="X55" s="50" t="str" cm="1">
        <f t="array" ref="X55">_xlfn.IFS(X54&gt;= 70,"A",X54&gt;=60,"B",X54&gt;=50,"C",X54&gt;=45,"D",X54&gt;=40,"E",X54&lt;40,"F")</f>
        <v>B</v>
      </c>
      <c r="Y55" s="50" t="str" cm="1">
        <f t="array" ref="Y55">_xlfn.IFS(Y54&gt;= 70,"A",Y54&gt;=60,"B",Y54&gt;=50,"C",Y54&gt;=45,"D",Y54&gt;=40,"E",Y54&lt;40,"F")</f>
        <v>B</v>
      </c>
      <c r="Z55" s="50" t="str" cm="1">
        <f t="array" ref="Z55">_xlfn.IFS(Z54&gt;= 70,"A",Z54&gt;=60,"B",Z54&gt;=50,"C",Z54&gt;=45,"D",Z54&gt;=40,"E",Z54&lt;40,"F")</f>
        <v>B</v>
      </c>
      <c r="AA55" s="50" t="str" cm="1">
        <f t="array" ref="AA55">_xlfn.IFS(AA54&gt;= 70,"A",AA54&gt;=60,"B",AA54&gt;=50,"C",AA54&gt;=45,"D",AA54&gt;=40,"E",AA54&lt;40,"F")</f>
        <v>B</v>
      </c>
      <c r="AB55" s="50" t="str" cm="1">
        <f t="array" ref="AB55">_xlfn.IFS(AB54&gt;= 70,"A",AB54&gt;=60,"B",AB54&gt;=50,"C",AB54&gt;=45,"D",AB54&gt;=40,"E",AB54&lt;40,"F")</f>
        <v>B</v>
      </c>
      <c r="AC55" s="50" t="str" cm="1">
        <f t="array" ref="AC55">_xlfn.IFS(AC54&gt;= 70,"A",AC54&gt;=60,"B",AC54&gt;=50,"C",AC54&gt;=45,"D",AC54&gt;=40,"E",AC54&lt;40,"F")</f>
        <v>B</v>
      </c>
      <c r="AD55" s="50" t="str" cm="1">
        <f t="array" ref="AD55">_xlfn.IFS(AD54&gt;= 70,"A",AD54&gt;=60,"B",AD54&gt;=50,"C",AD54&gt;=45,"D",AD54&gt;=40,"E",AD54&lt;40,"F")</f>
        <v>B</v>
      </c>
      <c r="AE55" s="50" t="str" cm="1">
        <f t="array" ref="AE55">_xlfn.IFS(AE54&gt;= 70,"A",AE54&gt;=60,"B",AE54&gt;=50,"C",AE54&gt;=45,"D",AE54&gt;=40,"E",AE54&lt;40,"F")</f>
        <v>B</v>
      </c>
      <c r="AF55" s="50" t="str" cm="1">
        <f t="array" ref="AF55">_xlfn.IFS(AF54&gt;= 70,"A",AF54&gt;=60,"B",AF54&gt;=50,"C",AF54&gt;=45,"D",AF54&gt;=40,"E",AF54&lt;40,"F")</f>
        <v>B</v>
      </c>
      <c r="AG55" s="7"/>
      <c r="AH55" s="48" t="str" cm="1">
        <f t="array" ref="AH55">_xlfn.IFS(AG55&gt;= 70,"A",AG55&gt;=60,"B",AG55&gt;=50,"C",AG55&gt;=45,"D",AG55&gt;=40,"E",AG55&lt;40,"F")</f>
        <v>F</v>
      </c>
      <c r="AI55" s="7"/>
      <c r="AJ55" s="48" t="str" cm="1">
        <f t="array" ref="AJ55">_xlfn.IFS(AI55&gt;= 70,"A",AI55&gt;=60,"B",AI55&gt;=50,"C",AI55&gt;=45,"D",AI55&gt;=40,"E",AI55&lt;40,"F")</f>
        <v>F</v>
      </c>
      <c r="AK55" s="7"/>
      <c r="AL55" s="48" t="str" cm="1">
        <f t="array" ref="AL55">_xlfn.IFS(AK55&gt;= 70,"A",AK55&gt;=60,"B",AK55&gt;=50,"C",AK55&gt;=45,"D",AK55&gt;=40,"E",AK55&lt;40,"F")</f>
        <v>F</v>
      </c>
      <c r="AM55" s="56">
        <f t="shared" ref="AM55" si="93">SUMIFS($I$4:$W$4,I54:W54,"&gt;0")</f>
        <v>23</v>
      </c>
      <c r="AN55" s="47">
        <f t="shared" ref="AN55" si="94">(SUMIFS($I$4:$W$4,I54:W54,"&gt;0")-SUMIFS($I$4:$W$4,I55:W55,"F"))</f>
        <v>23</v>
      </c>
      <c r="AO55" s="56">
        <f t="shared" ref="AO55" si="95">SUMIFS($I$4:$W$4,I55:W55,"F")</f>
        <v>0</v>
      </c>
      <c r="AP55" s="76"/>
      <c r="AQ55" s="74"/>
      <c r="AR55" s="71"/>
    </row>
    <row r="56" spans="1:44" ht="30" customHeight="1" thickTop="1" x14ac:dyDescent="0.3">
      <c r="A56" s="98">
        <v>26</v>
      </c>
      <c r="B56" s="77"/>
      <c r="C56" s="75"/>
      <c r="D56" s="84"/>
      <c r="E56" s="84"/>
      <c r="F56" s="84"/>
      <c r="G56" s="84"/>
      <c r="H56" s="84"/>
      <c r="I56" s="49">
        <v>45</v>
      </c>
      <c r="J56" s="49">
        <v>46</v>
      </c>
      <c r="K56" s="49">
        <v>47</v>
      </c>
      <c r="L56" s="49">
        <v>48</v>
      </c>
      <c r="M56" s="49">
        <v>49</v>
      </c>
      <c r="N56" s="49">
        <v>50</v>
      </c>
      <c r="O56" s="49">
        <v>51</v>
      </c>
      <c r="P56" s="49">
        <v>52</v>
      </c>
      <c r="Q56" s="49">
        <v>53</v>
      </c>
      <c r="R56" s="49">
        <v>54</v>
      </c>
      <c r="S56" s="49">
        <v>55</v>
      </c>
      <c r="T56" s="49">
        <v>56</v>
      </c>
      <c r="U56" s="49">
        <v>57</v>
      </c>
      <c r="V56" s="49">
        <v>58</v>
      </c>
      <c r="W56" s="49">
        <v>59</v>
      </c>
      <c r="X56" s="49">
        <v>60</v>
      </c>
      <c r="Y56" s="49">
        <v>61</v>
      </c>
      <c r="Z56" s="49">
        <v>62</v>
      </c>
      <c r="AA56" s="49">
        <v>63</v>
      </c>
      <c r="AB56" s="49">
        <v>64</v>
      </c>
      <c r="AC56" s="49">
        <v>65</v>
      </c>
      <c r="AD56" s="49">
        <v>66</v>
      </c>
      <c r="AE56" s="49">
        <v>67</v>
      </c>
      <c r="AF56" s="49">
        <v>68</v>
      </c>
      <c r="AG56" s="7"/>
      <c r="AH56" s="48" t="str" cm="1">
        <f t="array" ref="AH56">_xlfn.IFS(AG56&gt;= 70,"A",AG56&gt;=60,"B",AG56&gt;=50,"C",AG56&gt;=45,"D",AG56&gt;=40,"E",AG56&lt;40,"F")</f>
        <v>F</v>
      </c>
      <c r="AI56" s="7"/>
      <c r="AJ56" s="48" t="str" cm="1">
        <f t="array" ref="AJ56">_xlfn.IFS(AI56&gt;= 70,"A",AI56&gt;=60,"B",AI56&gt;=50,"C",AI56&gt;=45,"D",AI56&gt;=40,"E",AI56&lt;40,"F")</f>
        <v>F</v>
      </c>
      <c r="AK56" s="7"/>
      <c r="AL56" s="48" t="str" cm="1">
        <f t="array" ref="AL56">_xlfn.IFS(AK56&gt;= 70,"A",AK56&gt;=60,"B",AK56&gt;=50,"C",AK56&gt;=45,"D",AK56&gt;=40,"E",AK56&lt;40,"F")</f>
        <v>F</v>
      </c>
      <c r="AM56" s="59"/>
      <c r="AN56" s="46"/>
      <c r="AO56" s="59"/>
      <c r="AP56" s="75" cm="1">
        <f t="array" ref="AP56">SUM(VLOOKUP(I57:W57,GRADEPOINT!$A$2:$B$7,2,0)*$I$4:$W$4)</f>
        <v>61</v>
      </c>
      <c r="AQ56" s="73">
        <f t="shared" ref="AQ56" si="96">ROUND(AP56/AM57,2)</f>
        <v>2.65</v>
      </c>
      <c r="AR56" s="72"/>
    </row>
    <row r="57" spans="1:44" ht="30" customHeight="1" thickBot="1" x14ac:dyDescent="0.35">
      <c r="A57" s="99"/>
      <c r="B57" s="83"/>
      <c r="C57" s="95"/>
      <c r="D57" s="96"/>
      <c r="E57" s="96"/>
      <c r="F57" s="96"/>
      <c r="G57" s="96"/>
      <c r="H57" s="96"/>
      <c r="I57" s="50" t="str" cm="1">
        <f t="array" ref="I57">_xlfn.IFS(I56&gt;= 70,"A",I56&gt;=60,"B",I56&gt;=50,"C",I56&gt;=45,"D",I56&gt;=40,"E",I56&lt;40,"F")</f>
        <v>D</v>
      </c>
      <c r="J57" s="50" t="str" cm="1">
        <f t="array" ref="J57">_xlfn.IFS(J56&gt;= 70,"A",J56&gt;=60,"B",J56&gt;=50,"C",J56&gt;=45,"D",J56&gt;=40,"E",J56&lt;40,"F")</f>
        <v>D</v>
      </c>
      <c r="K57" s="50" t="str" cm="1">
        <f t="array" ref="K57">_xlfn.IFS(K56&gt;= 70,"A",K56&gt;=60,"B",K56&gt;=50,"C",K56&gt;=45,"D",K56&gt;=40,"E",K56&lt;40,"F")</f>
        <v>D</v>
      </c>
      <c r="L57" s="50" t="str" cm="1">
        <f t="array" ref="L57">_xlfn.IFS(L56&gt;= 70,"A",L56&gt;=60,"B",L56&gt;=50,"C",L56&gt;=45,"D",L56&gt;=40,"E",L56&lt;40,"F")</f>
        <v>D</v>
      </c>
      <c r="M57" s="50" t="str" cm="1">
        <f t="array" ref="M57">_xlfn.IFS(M56&gt;= 70,"A",M56&gt;=60,"B",M56&gt;=50,"C",M56&gt;=45,"D",M56&gt;=40,"E",M56&lt;40,"F")</f>
        <v>D</v>
      </c>
      <c r="N57" s="50" t="str" cm="1">
        <f t="array" ref="N57">_xlfn.IFS(N56&gt;= 70,"A",N56&gt;=60,"B",N56&gt;=50,"C",N56&gt;=45,"D",N56&gt;=40,"E",N56&lt;40,"F")</f>
        <v>C</v>
      </c>
      <c r="O57" s="50" t="str" cm="1">
        <f t="array" ref="O57">_xlfn.IFS(O56&gt;= 70,"A",O56&gt;=60,"B",O56&gt;=50,"C",O56&gt;=45,"D",O56&gt;=40,"E",O56&lt;40,"F")</f>
        <v>C</v>
      </c>
      <c r="P57" s="50" t="str" cm="1">
        <f t="array" ref="P57">_xlfn.IFS(P56&gt;= 70,"A",P56&gt;=60,"B",P56&gt;=50,"C",P56&gt;=45,"D",P56&gt;=40,"E",P56&lt;40,"F")</f>
        <v>C</v>
      </c>
      <c r="Q57" s="50" t="str" cm="1">
        <f t="array" ref="Q57">_xlfn.IFS(Q56&gt;= 70,"A",Q56&gt;=60,"B",Q56&gt;=50,"C",Q56&gt;=45,"D",Q56&gt;=40,"E",Q56&lt;40,"F")</f>
        <v>C</v>
      </c>
      <c r="R57" s="50" t="str" cm="1">
        <f t="array" ref="R57">_xlfn.IFS(R56&gt;= 70,"A",R56&gt;=60,"B",R56&gt;=50,"C",R56&gt;=45,"D",R56&gt;=40,"E",R56&lt;40,"F")</f>
        <v>C</v>
      </c>
      <c r="S57" s="50" t="str" cm="1">
        <f t="array" ref="S57">_xlfn.IFS(S56&gt;= 70,"A",S56&gt;=60,"B",S56&gt;=50,"C",S56&gt;=45,"D",S56&gt;=40,"E",S56&lt;40,"F")</f>
        <v>C</v>
      </c>
      <c r="T57" s="50" t="str" cm="1">
        <f t="array" ref="T57">_xlfn.IFS(T56&gt;= 70,"A",T56&gt;=60,"B",T56&gt;=50,"C",T56&gt;=45,"D",T56&gt;=40,"E",T56&lt;40,"F")</f>
        <v>C</v>
      </c>
      <c r="U57" s="50" t="str" cm="1">
        <f t="array" ref="U57">_xlfn.IFS(U56&gt;= 70,"A",U56&gt;=60,"B",U56&gt;=50,"C",U56&gt;=45,"D",U56&gt;=40,"E",U56&lt;40,"F")</f>
        <v>C</v>
      </c>
      <c r="V57" s="50" t="str" cm="1">
        <f t="array" ref="V57">_xlfn.IFS(V56&gt;= 70,"A",V56&gt;=60,"B",V56&gt;=50,"C",V56&gt;=45,"D",V56&gt;=40,"E",V56&lt;40,"F")</f>
        <v>C</v>
      </c>
      <c r="W57" s="50" t="str" cm="1">
        <f t="array" ref="W57">_xlfn.IFS(W56&gt;= 70,"A",W56&gt;=60,"B",W56&gt;=50,"C",W56&gt;=45,"D",W56&gt;=40,"E",W56&lt;40,"F")</f>
        <v>C</v>
      </c>
      <c r="X57" s="50" t="str" cm="1">
        <f t="array" ref="X57">_xlfn.IFS(X56&gt;= 70,"A",X56&gt;=60,"B",X56&gt;=50,"C",X56&gt;=45,"D",X56&gt;=40,"E",X56&lt;40,"F")</f>
        <v>B</v>
      </c>
      <c r="Y57" s="50" t="str" cm="1">
        <f t="array" ref="Y57">_xlfn.IFS(Y56&gt;= 70,"A",Y56&gt;=60,"B",Y56&gt;=50,"C",Y56&gt;=45,"D",Y56&gt;=40,"E",Y56&lt;40,"F")</f>
        <v>B</v>
      </c>
      <c r="Z57" s="50" t="str" cm="1">
        <f t="array" ref="Z57">_xlfn.IFS(Z56&gt;= 70,"A",Z56&gt;=60,"B",Z56&gt;=50,"C",Z56&gt;=45,"D",Z56&gt;=40,"E",Z56&lt;40,"F")</f>
        <v>B</v>
      </c>
      <c r="AA57" s="50" t="str" cm="1">
        <f t="array" ref="AA57">_xlfn.IFS(AA56&gt;= 70,"A",AA56&gt;=60,"B",AA56&gt;=50,"C",AA56&gt;=45,"D",AA56&gt;=40,"E",AA56&lt;40,"F")</f>
        <v>B</v>
      </c>
      <c r="AB57" s="50" t="str" cm="1">
        <f t="array" ref="AB57">_xlfn.IFS(AB56&gt;= 70,"A",AB56&gt;=60,"B",AB56&gt;=50,"C",AB56&gt;=45,"D",AB56&gt;=40,"E",AB56&lt;40,"F")</f>
        <v>B</v>
      </c>
      <c r="AC57" s="50" t="str" cm="1">
        <f t="array" ref="AC57">_xlfn.IFS(AC56&gt;= 70,"A",AC56&gt;=60,"B",AC56&gt;=50,"C",AC56&gt;=45,"D",AC56&gt;=40,"E",AC56&lt;40,"F")</f>
        <v>B</v>
      </c>
      <c r="AD57" s="50" t="str" cm="1">
        <f t="array" ref="AD57">_xlfn.IFS(AD56&gt;= 70,"A",AD56&gt;=60,"B",AD56&gt;=50,"C",AD56&gt;=45,"D",AD56&gt;=40,"E",AD56&lt;40,"F")</f>
        <v>B</v>
      </c>
      <c r="AE57" s="50" t="str" cm="1">
        <f t="array" ref="AE57">_xlfn.IFS(AE56&gt;= 70,"A",AE56&gt;=60,"B",AE56&gt;=50,"C",AE56&gt;=45,"D",AE56&gt;=40,"E",AE56&lt;40,"F")</f>
        <v>B</v>
      </c>
      <c r="AF57" s="50" t="str" cm="1">
        <f t="array" ref="AF57">_xlfn.IFS(AF56&gt;= 70,"A",AF56&gt;=60,"B",AF56&gt;=50,"C",AF56&gt;=45,"D",AF56&gt;=40,"E",AF56&lt;40,"F")</f>
        <v>B</v>
      </c>
      <c r="AG57" s="7"/>
      <c r="AH57" s="48" t="str" cm="1">
        <f t="array" ref="AH57">_xlfn.IFS(AG57&gt;= 70,"A",AG57&gt;=60,"B",AG57&gt;=50,"C",AG57&gt;=45,"D",AG57&gt;=40,"E",AG57&lt;40,"F")</f>
        <v>F</v>
      </c>
      <c r="AI57" s="7"/>
      <c r="AJ57" s="48" t="str" cm="1">
        <f t="array" ref="AJ57">_xlfn.IFS(AI57&gt;= 70,"A",AI57&gt;=60,"B",AI57&gt;=50,"C",AI57&gt;=45,"D",AI57&gt;=40,"E",AI57&lt;40,"F")</f>
        <v>F</v>
      </c>
      <c r="AK57" s="7"/>
      <c r="AL57" s="48" t="str" cm="1">
        <f t="array" ref="AL57">_xlfn.IFS(AK57&gt;= 70,"A",AK57&gt;=60,"B",AK57&gt;=50,"C",AK57&gt;=45,"D",AK57&gt;=40,"E",AK57&lt;40,"F")</f>
        <v>F</v>
      </c>
      <c r="AM57" s="56">
        <f t="shared" ref="AM57" si="97">SUMIFS($I$4:$W$4,I56:W56,"&gt;0")</f>
        <v>23</v>
      </c>
      <c r="AN57" s="47">
        <f t="shared" ref="AN57" si="98">(SUMIFS($I$4:$W$4,I56:W56,"&gt;0")-SUMIFS($I$4:$W$4,I57:W57,"F"))</f>
        <v>23</v>
      </c>
      <c r="AO57" s="56">
        <f t="shared" ref="AO57" si="99">SUMIFS($I$4:$W$4,I57:W57,"F")</f>
        <v>0</v>
      </c>
      <c r="AP57" s="76"/>
      <c r="AQ57" s="74"/>
      <c r="AR57" s="71"/>
    </row>
    <row r="58" spans="1:44" ht="30" customHeight="1" thickTop="1" x14ac:dyDescent="0.3">
      <c r="A58" s="98">
        <v>27</v>
      </c>
      <c r="B58" s="77"/>
      <c r="C58" s="75"/>
      <c r="D58" s="84"/>
      <c r="E58" s="84"/>
      <c r="F58" s="84"/>
      <c r="G58" s="84"/>
      <c r="H58" s="84"/>
      <c r="I58" s="49">
        <v>45</v>
      </c>
      <c r="J58" s="49">
        <v>46</v>
      </c>
      <c r="K58" s="49">
        <v>47</v>
      </c>
      <c r="L58" s="49">
        <v>48</v>
      </c>
      <c r="M58" s="49">
        <v>49</v>
      </c>
      <c r="N58" s="49">
        <v>50</v>
      </c>
      <c r="O58" s="49">
        <v>51</v>
      </c>
      <c r="P58" s="49">
        <v>52</v>
      </c>
      <c r="Q58" s="49">
        <v>53</v>
      </c>
      <c r="R58" s="49">
        <v>54</v>
      </c>
      <c r="S58" s="49">
        <v>55</v>
      </c>
      <c r="T58" s="49">
        <v>56</v>
      </c>
      <c r="U58" s="49">
        <v>57</v>
      </c>
      <c r="V58" s="49">
        <v>58</v>
      </c>
      <c r="W58" s="49">
        <v>59</v>
      </c>
      <c r="X58" s="49">
        <v>60</v>
      </c>
      <c r="Y58" s="49">
        <v>61</v>
      </c>
      <c r="Z58" s="49">
        <v>62</v>
      </c>
      <c r="AA58" s="49">
        <v>63</v>
      </c>
      <c r="AB58" s="49">
        <v>64</v>
      </c>
      <c r="AC58" s="49">
        <v>65</v>
      </c>
      <c r="AD58" s="49">
        <v>66</v>
      </c>
      <c r="AE58" s="49">
        <v>67</v>
      </c>
      <c r="AF58" s="49">
        <v>68</v>
      </c>
      <c r="AG58" s="7"/>
      <c r="AH58" s="48" t="str" cm="1">
        <f t="array" ref="AH58">_xlfn.IFS(AG58&gt;= 70,"A",AG58&gt;=60,"B",AG58&gt;=50,"C",AG58&gt;=45,"D",AG58&gt;=40,"E",AG58&lt;40,"F")</f>
        <v>F</v>
      </c>
      <c r="AI58" s="7"/>
      <c r="AJ58" s="48" t="str" cm="1">
        <f t="array" ref="AJ58">_xlfn.IFS(AI58&gt;= 70,"A",AI58&gt;=60,"B",AI58&gt;=50,"C",AI58&gt;=45,"D",AI58&gt;=40,"E",AI58&lt;40,"F")</f>
        <v>F</v>
      </c>
      <c r="AK58" s="7"/>
      <c r="AL58" s="48" t="str" cm="1">
        <f t="array" ref="AL58">_xlfn.IFS(AK58&gt;= 70,"A",AK58&gt;=60,"B",AK58&gt;=50,"C",AK58&gt;=45,"D",AK58&gt;=40,"E",AK58&lt;40,"F")</f>
        <v>F</v>
      </c>
      <c r="AM58" s="59"/>
      <c r="AN58" s="46"/>
      <c r="AO58" s="59"/>
      <c r="AP58" s="75" cm="1">
        <f t="array" ref="AP58">SUM(VLOOKUP(I59:W59,GRADEPOINT!$A$2:$B$7,2,0)*$I$4:$W$4)</f>
        <v>61</v>
      </c>
      <c r="AQ58" s="73">
        <f t="shared" ref="AQ58" si="100">ROUND(AP58/AM59,2)</f>
        <v>2.65</v>
      </c>
      <c r="AR58" s="72"/>
    </row>
    <row r="59" spans="1:44" ht="30" customHeight="1" thickBot="1" x14ac:dyDescent="0.35">
      <c r="A59" s="99"/>
      <c r="B59" s="83"/>
      <c r="C59" s="95"/>
      <c r="D59" s="96"/>
      <c r="E59" s="96"/>
      <c r="F59" s="96"/>
      <c r="G59" s="96"/>
      <c r="H59" s="96"/>
      <c r="I59" s="50" t="str" cm="1">
        <f t="array" ref="I59">_xlfn.IFS(I58&gt;= 70,"A",I58&gt;=60,"B",I58&gt;=50,"C",I58&gt;=45,"D",I58&gt;=40,"E",I58&lt;40,"F")</f>
        <v>D</v>
      </c>
      <c r="J59" s="50" t="str" cm="1">
        <f t="array" ref="J59">_xlfn.IFS(J58&gt;= 70,"A",J58&gt;=60,"B",J58&gt;=50,"C",J58&gt;=45,"D",J58&gt;=40,"E",J58&lt;40,"F")</f>
        <v>D</v>
      </c>
      <c r="K59" s="50" t="str" cm="1">
        <f t="array" ref="K59">_xlfn.IFS(K58&gt;= 70,"A",K58&gt;=60,"B",K58&gt;=50,"C",K58&gt;=45,"D",K58&gt;=40,"E",K58&lt;40,"F")</f>
        <v>D</v>
      </c>
      <c r="L59" s="50" t="str" cm="1">
        <f t="array" ref="L59">_xlfn.IFS(L58&gt;= 70,"A",L58&gt;=60,"B",L58&gt;=50,"C",L58&gt;=45,"D",L58&gt;=40,"E",L58&lt;40,"F")</f>
        <v>D</v>
      </c>
      <c r="M59" s="50" t="str" cm="1">
        <f t="array" ref="M59">_xlfn.IFS(M58&gt;= 70,"A",M58&gt;=60,"B",M58&gt;=50,"C",M58&gt;=45,"D",M58&gt;=40,"E",M58&lt;40,"F")</f>
        <v>D</v>
      </c>
      <c r="N59" s="50" t="str" cm="1">
        <f t="array" ref="N59">_xlfn.IFS(N58&gt;= 70,"A",N58&gt;=60,"B",N58&gt;=50,"C",N58&gt;=45,"D",N58&gt;=40,"E",N58&lt;40,"F")</f>
        <v>C</v>
      </c>
      <c r="O59" s="50" t="str" cm="1">
        <f t="array" ref="O59">_xlfn.IFS(O58&gt;= 70,"A",O58&gt;=60,"B",O58&gt;=50,"C",O58&gt;=45,"D",O58&gt;=40,"E",O58&lt;40,"F")</f>
        <v>C</v>
      </c>
      <c r="P59" s="50" t="str" cm="1">
        <f t="array" ref="P59">_xlfn.IFS(P58&gt;= 70,"A",P58&gt;=60,"B",P58&gt;=50,"C",P58&gt;=45,"D",P58&gt;=40,"E",P58&lt;40,"F")</f>
        <v>C</v>
      </c>
      <c r="Q59" s="50" t="str" cm="1">
        <f t="array" ref="Q59">_xlfn.IFS(Q58&gt;= 70,"A",Q58&gt;=60,"B",Q58&gt;=50,"C",Q58&gt;=45,"D",Q58&gt;=40,"E",Q58&lt;40,"F")</f>
        <v>C</v>
      </c>
      <c r="R59" s="50" t="str" cm="1">
        <f t="array" ref="R59">_xlfn.IFS(R58&gt;= 70,"A",R58&gt;=60,"B",R58&gt;=50,"C",R58&gt;=45,"D",R58&gt;=40,"E",R58&lt;40,"F")</f>
        <v>C</v>
      </c>
      <c r="S59" s="50" t="str" cm="1">
        <f t="array" ref="S59">_xlfn.IFS(S58&gt;= 70,"A",S58&gt;=60,"B",S58&gt;=50,"C",S58&gt;=45,"D",S58&gt;=40,"E",S58&lt;40,"F")</f>
        <v>C</v>
      </c>
      <c r="T59" s="50" t="str" cm="1">
        <f t="array" ref="T59">_xlfn.IFS(T58&gt;= 70,"A",T58&gt;=60,"B",T58&gt;=50,"C",T58&gt;=45,"D",T58&gt;=40,"E",T58&lt;40,"F")</f>
        <v>C</v>
      </c>
      <c r="U59" s="50" t="str" cm="1">
        <f t="array" ref="U59">_xlfn.IFS(U58&gt;= 70,"A",U58&gt;=60,"B",U58&gt;=50,"C",U58&gt;=45,"D",U58&gt;=40,"E",U58&lt;40,"F")</f>
        <v>C</v>
      </c>
      <c r="V59" s="50" t="str" cm="1">
        <f t="array" ref="V59">_xlfn.IFS(V58&gt;= 70,"A",V58&gt;=60,"B",V58&gt;=50,"C",V58&gt;=45,"D",V58&gt;=40,"E",V58&lt;40,"F")</f>
        <v>C</v>
      </c>
      <c r="W59" s="50" t="str" cm="1">
        <f t="array" ref="W59">_xlfn.IFS(W58&gt;= 70,"A",W58&gt;=60,"B",W58&gt;=50,"C",W58&gt;=45,"D",W58&gt;=40,"E",W58&lt;40,"F")</f>
        <v>C</v>
      </c>
      <c r="X59" s="50" t="str" cm="1">
        <f t="array" ref="X59">_xlfn.IFS(X58&gt;= 70,"A",X58&gt;=60,"B",X58&gt;=50,"C",X58&gt;=45,"D",X58&gt;=40,"E",X58&lt;40,"F")</f>
        <v>B</v>
      </c>
      <c r="Y59" s="50" t="str" cm="1">
        <f t="array" ref="Y59">_xlfn.IFS(Y58&gt;= 70,"A",Y58&gt;=60,"B",Y58&gt;=50,"C",Y58&gt;=45,"D",Y58&gt;=40,"E",Y58&lt;40,"F")</f>
        <v>B</v>
      </c>
      <c r="Z59" s="50" t="str" cm="1">
        <f t="array" ref="Z59">_xlfn.IFS(Z58&gt;= 70,"A",Z58&gt;=60,"B",Z58&gt;=50,"C",Z58&gt;=45,"D",Z58&gt;=40,"E",Z58&lt;40,"F")</f>
        <v>B</v>
      </c>
      <c r="AA59" s="50" t="str" cm="1">
        <f t="array" ref="AA59">_xlfn.IFS(AA58&gt;= 70,"A",AA58&gt;=60,"B",AA58&gt;=50,"C",AA58&gt;=45,"D",AA58&gt;=40,"E",AA58&lt;40,"F")</f>
        <v>B</v>
      </c>
      <c r="AB59" s="50" t="str" cm="1">
        <f t="array" ref="AB59">_xlfn.IFS(AB58&gt;= 70,"A",AB58&gt;=60,"B",AB58&gt;=50,"C",AB58&gt;=45,"D",AB58&gt;=40,"E",AB58&lt;40,"F")</f>
        <v>B</v>
      </c>
      <c r="AC59" s="50" t="str" cm="1">
        <f t="array" ref="AC59">_xlfn.IFS(AC58&gt;= 70,"A",AC58&gt;=60,"B",AC58&gt;=50,"C",AC58&gt;=45,"D",AC58&gt;=40,"E",AC58&lt;40,"F")</f>
        <v>B</v>
      </c>
      <c r="AD59" s="50" t="str" cm="1">
        <f t="array" ref="AD59">_xlfn.IFS(AD58&gt;= 70,"A",AD58&gt;=60,"B",AD58&gt;=50,"C",AD58&gt;=45,"D",AD58&gt;=40,"E",AD58&lt;40,"F")</f>
        <v>B</v>
      </c>
      <c r="AE59" s="50" t="str" cm="1">
        <f t="array" ref="AE59">_xlfn.IFS(AE58&gt;= 70,"A",AE58&gt;=60,"B",AE58&gt;=50,"C",AE58&gt;=45,"D",AE58&gt;=40,"E",AE58&lt;40,"F")</f>
        <v>B</v>
      </c>
      <c r="AF59" s="50" t="str" cm="1">
        <f t="array" ref="AF59">_xlfn.IFS(AF58&gt;= 70,"A",AF58&gt;=60,"B",AF58&gt;=50,"C",AF58&gt;=45,"D",AF58&gt;=40,"E",AF58&lt;40,"F")</f>
        <v>B</v>
      </c>
      <c r="AG59" s="7"/>
      <c r="AH59" s="48" t="str" cm="1">
        <f t="array" ref="AH59">_xlfn.IFS(AG59&gt;= 70,"A",AG59&gt;=60,"B",AG59&gt;=50,"C",AG59&gt;=45,"D",AG59&gt;=40,"E",AG59&lt;40,"F")</f>
        <v>F</v>
      </c>
      <c r="AI59" s="7"/>
      <c r="AJ59" s="48" t="str" cm="1">
        <f t="array" ref="AJ59">_xlfn.IFS(AI59&gt;= 70,"A",AI59&gt;=60,"B",AI59&gt;=50,"C",AI59&gt;=45,"D",AI59&gt;=40,"E",AI59&lt;40,"F")</f>
        <v>F</v>
      </c>
      <c r="AK59" s="7"/>
      <c r="AL59" s="48" t="str" cm="1">
        <f t="array" ref="AL59">_xlfn.IFS(AK59&gt;= 70,"A",AK59&gt;=60,"B",AK59&gt;=50,"C",AK59&gt;=45,"D",AK59&gt;=40,"E",AK59&lt;40,"F")</f>
        <v>F</v>
      </c>
      <c r="AM59" s="56">
        <f t="shared" ref="AM59" si="101">SUMIFS($I$4:$W$4,I58:W58,"&gt;0")</f>
        <v>23</v>
      </c>
      <c r="AN59" s="47">
        <f t="shared" ref="AN59" si="102">(SUMIFS($I$4:$W$4,I58:W58,"&gt;0")-SUMIFS($I$4:$W$4,I59:W59,"F"))</f>
        <v>23</v>
      </c>
      <c r="AO59" s="56">
        <f t="shared" ref="AO59" si="103">SUMIFS($I$4:$W$4,I59:W59,"F")</f>
        <v>0</v>
      </c>
      <c r="AP59" s="76"/>
      <c r="AQ59" s="74"/>
      <c r="AR59" s="71"/>
    </row>
    <row r="60" spans="1:44" ht="30" customHeight="1" thickTop="1" x14ac:dyDescent="0.3">
      <c r="A60" s="98">
        <v>28</v>
      </c>
      <c r="B60" s="77"/>
      <c r="C60" s="75"/>
      <c r="D60" s="84"/>
      <c r="E60" s="84"/>
      <c r="F60" s="84"/>
      <c r="G60" s="84"/>
      <c r="H60" s="84"/>
      <c r="I60" s="49">
        <v>45</v>
      </c>
      <c r="J60" s="49">
        <v>46</v>
      </c>
      <c r="K60" s="49">
        <v>47</v>
      </c>
      <c r="L60" s="49">
        <v>48</v>
      </c>
      <c r="M60" s="49">
        <v>49</v>
      </c>
      <c r="N60" s="49">
        <v>50</v>
      </c>
      <c r="O60" s="49">
        <v>51</v>
      </c>
      <c r="P60" s="49">
        <v>52</v>
      </c>
      <c r="Q60" s="49">
        <v>53</v>
      </c>
      <c r="R60" s="49">
        <v>54</v>
      </c>
      <c r="S60" s="49">
        <v>55</v>
      </c>
      <c r="T60" s="49">
        <v>56</v>
      </c>
      <c r="U60" s="49">
        <v>57</v>
      </c>
      <c r="V60" s="49">
        <v>58</v>
      </c>
      <c r="W60" s="49">
        <v>59</v>
      </c>
      <c r="X60" s="49">
        <v>60</v>
      </c>
      <c r="Y60" s="49">
        <v>61</v>
      </c>
      <c r="Z60" s="49">
        <v>62</v>
      </c>
      <c r="AA60" s="49">
        <v>63</v>
      </c>
      <c r="AB60" s="49">
        <v>64</v>
      </c>
      <c r="AC60" s="49">
        <v>65</v>
      </c>
      <c r="AD60" s="49">
        <v>66</v>
      </c>
      <c r="AE60" s="49">
        <v>67</v>
      </c>
      <c r="AF60" s="49">
        <v>68</v>
      </c>
      <c r="AG60" s="7"/>
      <c r="AH60" s="48" t="str" cm="1">
        <f t="array" ref="AH60">_xlfn.IFS(AG60&gt;= 70,"A",AG60&gt;=60,"B",AG60&gt;=50,"C",AG60&gt;=45,"D",AG60&gt;=40,"E",AG60&lt;40,"F")</f>
        <v>F</v>
      </c>
      <c r="AI60" s="7"/>
      <c r="AJ60" s="48" t="str" cm="1">
        <f t="array" ref="AJ60">_xlfn.IFS(AI60&gt;= 70,"A",AI60&gt;=60,"B",AI60&gt;=50,"C",AI60&gt;=45,"D",AI60&gt;=40,"E",AI60&lt;40,"F")</f>
        <v>F</v>
      </c>
      <c r="AK60" s="7"/>
      <c r="AL60" s="48" t="str" cm="1">
        <f t="array" ref="AL60">_xlfn.IFS(AK60&gt;= 70,"A",AK60&gt;=60,"B",AK60&gt;=50,"C",AK60&gt;=45,"D",AK60&gt;=40,"E",AK60&lt;40,"F")</f>
        <v>F</v>
      </c>
      <c r="AM60" s="59"/>
      <c r="AN60" s="46"/>
      <c r="AO60" s="59"/>
      <c r="AP60" s="75" cm="1">
        <f t="array" ref="AP60">SUM(VLOOKUP(I61:W61,GRADEPOINT!$A$2:$B$7,2,0)*$I$4:$W$4)</f>
        <v>61</v>
      </c>
      <c r="AQ60" s="73">
        <f t="shared" ref="AQ60" si="104">ROUND(AP60/AM61,2)</f>
        <v>2.65</v>
      </c>
      <c r="AR60" s="72"/>
    </row>
    <row r="61" spans="1:44" ht="30" customHeight="1" thickBot="1" x14ac:dyDescent="0.35">
      <c r="A61" s="99"/>
      <c r="B61" s="83"/>
      <c r="C61" s="95"/>
      <c r="D61" s="96"/>
      <c r="E61" s="96"/>
      <c r="F61" s="96"/>
      <c r="G61" s="96"/>
      <c r="H61" s="96"/>
      <c r="I61" s="50" t="str" cm="1">
        <f t="array" ref="I61">_xlfn.IFS(I60&gt;= 70,"A",I60&gt;=60,"B",I60&gt;=50,"C",I60&gt;=45,"D",I60&gt;=40,"E",I60&lt;40,"F")</f>
        <v>D</v>
      </c>
      <c r="J61" s="50" t="str" cm="1">
        <f t="array" ref="J61">_xlfn.IFS(J60&gt;= 70,"A",J60&gt;=60,"B",J60&gt;=50,"C",J60&gt;=45,"D",J60&gt;=40,"E",J60&lt;40,"F")</f>
        <v>D</v>
      </c>
      <c r="K61" s="50" t="str" cm="1">
        <f t="array" ref="K61">_xlfn.IFS(K60&gt;= 70,"A",K60&gt;=60,"B",K60&gt;=50,"C",K60&gt;=45,"D",K60&gt;=40,"E",K60&lt;40,"F")</f>
        <v>D</v>
      </c>
      <c r="L61" s="50" t="str" cm="1">
        <f t="array" ref="L61">_xlfn.IFS(L60&gt;= 70,"A",L60&gt;=60,"B",L60&gt;=50,"C",L60&gt;=45,"D",L60&gt;=40,"E",L60&lt;40,"F")</f>
        <v>D</v>
      </c>
      <c r="M61" s="50" t="str" cm="1">
        <f t="array" ref="M61">_xlfn.IFS(M60&gt;= 70,"A",M60&gt;=60,"B",M60&gt;=50,"C",M60&gt;=45,"D",M60&gt;=40,"E",M60&lt;40,"F")</f>
        <v>D</v>
      </c>
      <c r="N61" s="50" t="str" cm="1">
        <f t="array" ref="N61">_xlfn.IFS(N60&gt;= 70,"A",N60&gt;=60,"B",N60&gt;=50,"C",N60&gt;=45,"D",N60&gt;=40,"E",N60&lt;40,"F")</f>
        <v>C</v>
      </c>
      <c r="O61" s="50" t="str" cm="1">
        <f t="array" ref="O61">_xlfn.IFS(O60&gt;= 70,"A",O60&gt;=60,"B",O60&gt;=50,"C",O60&gt;=45,"D",O60&gt;=40,"E",O60&lt;40,"F")</f>
        <v>C</v>
      </c>
      <c r="P61" s="50" t="str" cm="1">
        <f t="array" ref="P61">_xlfn.IFS(P60&gt;= 70,"A",P60&gt;=60,"B",P60&gt;=50,"C",P60&gt;=45,"D",P60&gt;=40,"E",P60&lt;40,"F")</f>
        <v>C</v>
      </c>
      <c r="Q61" s="50" t="str" cm="1">
        <f t="array" ref="Q61">_xlfn.IFS(Q60&gt;= 70,"A",Q60&gt;=60,"B",Q60&gt;=50,"C",Q60&gt;=45,"D",Q60&gt;=40,"E",Q60&lt;40,"F")</f>
        <v>C</v>
      </c>
      <c r="R61" s="50" t="str" cm="1">
        <f t="array" ref="R61">_xlfn.IFS(R60&gt;= 70,"A",R60&gt;=60,"B",R60&gt;=50,"C",R60&gt;=45,"D",R60&gt;=40,"E",R60&lt;40,"F")</f>
        <v>C</v>
      </c>
      <c r="S61" s="50" t="str" cm="1">
        <f t="array" ref="S61">_xlfn.IFS(S60&gt;= 70,"A",S60&gt;=60,"B",S60&gt;=50,"C",S60&gt;=45,"D",S60&gt;=40,"E",S60&lt;40,"F")</f>
        <v>C</v>
      </c>
      <c r="T61" s="50" t="str" cm="1">
        <f t="array" ref="T61">_xlfn.IFS(T60&gt;= 70,"A",T60&gt;=60,"B",T60&gt;=50,"C",T60&gt;=45,"D",T60&gt;=40,"E",T60&lt;40,"F")</f>
        <v>C</v>
      </c>
      <c r="U61" s="50" t="str" cm="1">
        <f t="array" ref="U61">_xlfn.IFS(U60&gt;= 70,"A",U60&gt;=60,"B",U60&gt;=50,"C",U60&gt;=45,"D",U60&gt;=40,"E",U60&lt;40,"F")</f>
        <v>C</v>
      </c>
      <c r="V61" s="50" t="str" cm="1">
        <f t="array" ref="V61">_xlfn.IFS(V60&gt;= 70,"A",V60&gt;=60,"B",V60&gt;=50,"C",V60&gt;=45,"D",V60&gt;=40,"E",V60&lt;40,"F")</f>
        <v>C</v>
      </c>
      <c r="W61" s="50" t="str" cm="1">
        <f t="array" ref="W61">_xlfn.IFS(W60&gt;= 70,"A",W60&gt;=60,"B",W60&gt;=50,"C",W60&gt;=45,"D",W60&gt;=40,"E",W60&lt;40,"F")</f>
        <v>C</v>
      </c>
      <c r="X61" s="50" t="str" cm="1">
        <f t="array" ref="X61">_xlfn.IFS(X60&gt;= 70,"A",X60&gt;=60,"B",X60&gt;=50,"C",X60&gt;=45,"D",X60&gt;=40,"E",X60&lt;40,"F")</f>
        <v>B</v>
      </c>
      <c r="Y61" s="50" t="str" cm="1">
        <f t="array" ref="Y61">_xlfn.IFS(Y60&gt;= 70,"A",Y60&gt;=60,"B",Y60&gt;=50,"C",Y60&gt;=45,"D",Y60&gt;=40,"E",Y60&lt;40,"F")</f>
        <v>B</v>
      </c>
      <c r="Z61" s="50" t="str" cm="1">
        <f t="array" ref="Z61">_xlfn.IFS(Z60&gt;= 70,"A",Z60&gt;=60,"B",Z60&gt;=50,"C",Z60&gt;=45,"D",Z60&gt;=40,"E",Z60&lt;40,"F")</f>
        <v>B</v>
      </c>
      <c r="AA61" s="50" t="str" cm="1">
        <f t="array" ref="AA61">_xlfn.IFS(AA60&gt;= 70,"A",AA60&gt;=60,"B",AA60&gt;=50,"C",AA60&gt;=45,"D",AA60&gt;=40,"E",AA60&lt;40,"F")</f>
        <v>B</v>
      </c>
      <c r="AB61" s="50" t="str" cm="1">
        <f t="array" ref="AB61">_xlfn.IFS(AB60&gt;= 70,"A",AB60&gt;=60,"B",AB60&gt;=50,"C",AB60&gt;=45,"D",AB60&gt;=40,"E",AB60&lt;40,"F")</f>
        <v>B</v>
      </c>
      <c r="AC61" s="50" t="str" cm="1">
        <f t="array" ref="AC61">_xlfn.IFS(AC60&gt;= 70,"A",AC60&gt;=60,"B",AC60&gt;=50,"C",AC60&gt;=45,"D",AC60&gt;=40,"E",AC60&lt;40,"F")</f>
        <v>B</v>
      </c>
      <c r="AD61" s="50" t="str" cm="1">
        <f t="array" ref="AD61">_xlfn.IFS(AD60&gt;= 70,"A",AD60&gt;=60,"B",AD60&gt;=50,"C",AD60&gt;=45,"D",AD60&gt;=40,"E",AD60&lt;40,"F")</f>
        <v>B</v>
      </c>
      <c r="AE61" s="50" t="str" cm="1">
        <f t="array" ref="AE61">_xlfn.IFS(AE60&gt;= 70,"A",AE60&gt;=60,"B",AE60&gt;=50,"C",AE60&gt;=45,"D",AE60&gt;=40,"E",AE60&lt;40,"F")</f>
        <v>B</v>
      </c>
      <c r="AF61" s="50" t="str" cm="1">
        <f t="array" ref="AF61">_xlfn.IFS(AF60&gt;= 70,"A",AF60&gt;=60,"B",AF60&gt;=50,"C",AF60&gt;=45,"D",AF60&gt;=40,"E",AF60&lt;40,"F")</f>
        <v>B</v>
      </c>
      <c r="AG61" s="7"/>
      <c r="AH61" s="48" t="str" cm="1">
        <f t="array" ref="AH61">_xlfn.IFS(AG61&gt;= 70,"A",AG61&gt;=60,"B",AG61&gt;=50,"C",AG61&gt;=45,"D",AG61&gt;=40,"E",AG61&lt;40,"F")</f>
        <v>F</v>
      </c>
      <c r="AI61" s="7"/>
      <c r="AJ61" s="48" t="str" cm="1">
        <f t="array" ref="AJ61">_xlfn.IFS(AI61&gt;= 70,"A",AI61&gt;=60,"B",AI61&gt;=50,"C",AI61&gt;=45,"D",AI61&gt;=40,"E",AI61&lt;40,"F")</f>
        <v>F</v>
      </c>
      <c r="AK61" s="7"/>
      <c r="AL61" s="48" t="str" cm="1">
        <f t="array" ref="AL61">_xlfn.IFS(AK61&gt;= 70,"A",AK61&gt;=60,"B",AK61&gt;=50,"C",AK61&gt;=45,"D",AK61&gt;=40,"E",AK61&lt;40,"F")</f>
        <v>F</v>
      </c>
      <c r="AM61" s="56">
        <f t="shared" ref="AM61" si="105">SUMIFS($I$4:$W$4,I60:W60,"&gt;0")</f>
        <v>23</v>
      </c>
      <c r="AN61" s="47">
        <f t="shared" ref="AN61" si="106">(SUMIFS($I$4:$W$4,I60:W60,"&gt;0")-SUMIFS($I$4:$W$4,I61:W61,"F"))</f>
        <v>23</v>
      </c>
      <c r="AO61" s="56">
        <f t="shared" ref="AO61" si="107">SUMIFS($I$4:$W$4,I61:W61,"F")</f>
        <v>0</v>
      </c>
      <c r="AP61" s="76"/>
      <c r="AQ61" s="74"/>
      <c r="AR61" s="71"/>
    </row>
    <row r="62" spans="1:44" ht="30" customHeight="1" thickTop="1" x14ac:dyDescent="0.3">
      <c r="A62" s="98">
        <v>29</v>
      </c>
      <c r="B62" s="77"/>
      <c r="C62" s="75"/>
      <c r="D62" s="84"/>
      <c r="E62" s="84"/>
      <c r="F62" s="84"/>
      <c r="G62" s="84"/>
      <c r="H62" s="84"/>
      <c r="I62" s="49">
        <v>45</v>
      </c>
      <c r="J62" s="49">
        <v>46</v>
      </c>
      <c r="K62" s="49">
        <v>47</v>
      </c>
      <c r="L62" s="49">
        <v>48</v>
      </c>
      <c r="M62" s="49">
        <v>49</v>
      </c>
      <c r="N62" s="49">
        <v>50</v>
      </c>
      <c r="O62" s="49">
        <v>51</v>
      </c>
      <c r="P62" s="49">
        <v>52</v>
      </c>
      <c r="Q62" s="49">
        <v>53</v>
      </c>
      <c r="R62" s="49">
        <v>54</v>
      </c>
      <c r="S62" s="49">
        <v>55</v>
      </c>
      <c r="T62" s="49">
        <v>56</v>
      </c>
      <c r="U62" s="49">
        <v>57</v>
      </c>
      <c r="V62" s="49">
        <v>58</v>
      </c>
      <c r="W62" s="49">
        <v>59</v>
      </c>
      <c r="X62" s="49">
        <v>60</v>
      </c>
      <c r="Y62" s="49">
        <v>61</v>
      </c>
      <c r="Z62" s="49">
        <v>62</v>
      </c>
      <c r="AA62" s="49">
        <v>63</v>
      </c>
      <c r="AB62" s="49">
        <v>64</v>
      </c>
      <c r="AC62" s="49">
        <v>65</v>
      </c>
      <c r="AD62" s="49">
        <v>66</v>
      </c>
      <c r="AE62" s="49">
        <v>67</v>
      </c>
      <c r="AF62" s="49">
        <v>68</v>
      </c>
      <c r="AG62" s="7"/>
      <c r="AH62" s="48" t="str" cm="1">
        <f t="array" ref="AH62">_xlfn.IFS(AG62&gt;= 70,"A",AG62&gt;=60,"B",AG62&gt;=50,"C",AG62&gt;=45,"D",AG62&gt;=40,"E",AG62&lt;40,"F")</f>
        <v>F</v>
      </c>
      <c r="AI62" s="7"/>
      <c r="AJ62" s="48" t="str" cm="1">
        <f t="array" ref="AJ62">_xlfn.IFS(AI62&gt;= 70,"A",AI62&gt;=60,"B",AI62&gt;=50,"C",AI62&gt;=45,"D",AI62&gt;=40,"E",AI62&lt;40,"F")</f>
        <v>F</v>
      </c>
      <c r="AK62" s="7"/>
      <c r="AL62" s="48" t="str" cm="1">
        <f t="array" ref="AL62">_xlfn.IFS(AK62&gt;= 70,"A",AK62&gt;=60,"B",AK62&gt;=50,"C",AK62&gt;=45,"D",AK62&gt;=40,"E",AK62&lt;40,"F")</f>
        <v>F</v>
      </c>
      <c r="AM62" s="59"/>
      <c r="AN62" s="46"/>
      <c r="AO62" s="59"/>
      <c r="AP62" s="75" cm="1">
        <f t="array" ref="AP62">SUM(VLOOKUP(I63:W63,GRADEPOINT!$A$2:$B$7,2,0)*$I$4:$W$4)</f>
        <v>61</v>
      </c>
      <c r="AQ62" s="73">
        <f t="shared" ref="AQ62" si="108">ROUND(AP62/AM63,2)</f>
        <v>2.65</v>
      </c>
      <c r="AR62" s="72"/>
    </row>
    <row r="63" spans="1:44" ht="30" customHeight="1" thickBot="1" x14ac:dyDescent="0.35">
      <c r="A63" s="99"/>
      <c r="B63" s="83"/>
      <c r="C63" s="95"/>
      <c r="D63" s="96"/>
      <c r="E63" s="96"/>
      <c r="F63" s="96"/>
      <c r="G63" s="96"/>
      <c r="H63" s="96"/>
      <c r="I63" s="50" t="str" cm="1">
        <f t="array" ref="I63">_xlfn.IFS(I62&gt;= 70,"A",I62&gt;=60,"B",I62&gt;=50,"C",I62&gt;=45,"D",I62&gt;=40,"E",I62&lt;40,"F")</f>
        <v>D</v>
      </c>
      <c r="J63" s="50" t="str" cm="1">
        <f t="array" ref="J63">_xlfn.IFS(J62&gt;= 70,"A",J62&gt;=60,"B",J62&gt;=50,"C",J62&gt;=45,"D",J62&gt;=40,"E",J62&lt;40,"F")</f>
        <v>D</v>
      </c>
      <c r="K63" s="50" t="str" cm="1">
        <f t="array" ref="K63">_xlfn.IFS(K62&gt;= 70,"A",K62&gt;=60,"B",K62&gt;=50,"C",K62&gt;=45,"D",K62&gt;=40,"E",K62&lt;40,"F")</f>
        <v>D</v>
      </c>
      <c r="L63" s="50" t="str" cm="1">
        <f t="array" ref="L63">_xlfn.IFS(L62&gt;= 70,"A",L62&gt;=60,"B",L62&gt;=50,"C",L62&gt;=45,"D",L62&gt;=40,"E",L62&lt;40,"F")</f>
        <v>D</v>
      </c>
      <c r="M63" s="50" t="str" cm="1">
        <f t="array" ref="M63">_xlfn.IFS(M62&gt;= 70,"A",M62&gt;=60,"B",M62&gt;=50,"C",M62&gt;=45,"D",M62&gt;=40,"E",M62&lt;40,"F")</f>
        <v>D</v>
      </c>
      <c r="N63" s="50" t="str" cm="1">
        <f t="array" ref="N63">_xlfn.IFS(N62&gt;= 70,"A",N62&gt;=60,"B",N62&gt;=50,"C",N62&gt;=45,"D",N62&gt;=40,"E",N62&lt;40,"F")</f>
        <v>C</v>
      </c>
      <c r="O63" s="50" t="str" cm="1">
        <f t="array" ref="O63">_xlfn.IFS(O62&gt;= 70,"A",O62&gt;=60,"B",O62&gt;=50,"C",O62&gt;=45,"D",O62&gt;=40,"E",O62&lt;40,"F")</f>
        <v>C</v>
      </c>
      <c r="P63" s="50" t="str" cm="1">
        <f t="array" ref="P63">_xlfn.IFS(P62&gt;= 70,"A",P62&gt;=60,"B",P62&gt;=50,"C",P62&gt;=45,"D",P62&gt;=40,"E",P62&lt;40,"F")</f>
        <v>C</v>
      </c>
      <c r="Q63" s="50" t="str" cm="1">
        <f t="array" ref="Q63">_xlfn.IFS(Q62&gt;= 70,"A",Q62&gt;=60,"B",Q62&gt;=50,"C",Q62&gt;=45,"D",Q62&gt;=40,"E",Q62&lt;40,"F")</f>
        <v>C</v>
      </c>
      <c r="R63" s="50" t="str" cm="1">
        <f t="array" ref="R63">_xlfn.IFS(R62&gt;= 70,"A",R62&gt;=60,"B",R62&gt;=50,"C",R62&gt;=45,"D",R62&gt;=40,"E",R62&lt;40,"F")</f>
        <v>C</v>
      </c>
      <c r="S63" s="50" t="str" cm="1">
        <f t="array" ref="S63">_xlfn.IFS(S62&gt;= 70,"A",S62&gt;=60,"B",S62&gt;=50,"C",S62&gt;=45,"D",S62&gt;=40,"E",S62&lt;40,"F")</f>
        <v>C</v>
      </c>
      <c r="T63" s="50" t="str" cm="1">
        <f t="array" ref="T63">_xlfn.IFS(T62&gt;= 70,"A",T62&gt;=60,"B",T62&gt;=50,"C",T62&gt;=45,"D",T62&gt;=40,"E",T62&lt;40,"F")</f>
        <v>C</v>
      </c>
      <c r="U63" s="50" t="str" cm="1">
        <f t="array" ref="U63">_xlfn.IFS(U62&gt;= 70,"A",U62&gt;=60,"B",U62&gt;=50,"C",U62&gt;=45,"D",U62&gt;=40,"E",U62&lt;40,"F")</f>
        <v>C</v>
      </c>
      <c r="V63" s="50" t="str" cm="1">
        <f t="array" ref="V63">_xlfn.IFS(V62&gt;= 70,"A",V62&gt;=60,"B",V62&gt;=50,"C",V62&gt;=45,"D",V62&gt;=40,"E",V62&lt;40,"F")</f>
        <v>C</v>
      </c>
      <c r="W63" s="50" t="str" cm="1">
        <f t="array" ref="W63">_xlfn.IFS(W62&gt;= 70,"A",W62&gt;=60,"B",W62&gt;=50,"C",W62&gt;=45,"D",W62&gt;=40,"E",W62&lt;40,"F")</f>
        <v>C</v>
      </c>
      <c r="X63" s="50" t="str" cm="1">
        <f t="array" ref="X63">_xlfn.IFS(X62&gt;= 70,"A",X62&gt;=60,"B",X62&gt;=50,"C",X62&gt;=45,"D",X62&gt;=40,"E",X62&lt;40,"F")</f>
        <v>B</v>
      </c>
      <c r="Y63" s="50" t="str" cm="1">
        <f t="array" ref="Y63">_xlfn.IFS(Y62&gt;= 70,"A",Y62&gt;=60,"B",Y62&gt;=50,"C",Y62&gt;=45,"D",Y62&gt;=40,"E",Y62&lt;40,"F")</f>
        <v>B</v>
      </c>
      <c r="Z63" s="50" t="str" cm="1">
        <f t="array" ref="Z63">_xlfn.IFS(Z62&gt;= 70,"A",Z62&gt;=60,"B",Z62&gt;=50,"C",Z62&gt;=45,"D",Z62&gt;=40,"E",Z62&lt;40,"F")</f>
        <v>B</v>
      </c>
      <c r="AA63" s="50" t="str" cm="1">
        <f t="array" ref="AA63">_xlfn.IFS(AA62&gt;= 70,"A",AA62&gt;=60,"B",AA62&gt;=50,"C",AA62&gt;=45,"D",AA62&gt;=40,"E",AA62&lt;40,"F")</f>
        <v>B</v>
      </c>
      <c r="AB63" s="50" t="str" cm="1">
        <f t="array" ref="AB63">_xlfn.IFS(AB62&gt;= 70,"A",AB62&gt;=60,"B",AB62&gt;=50,"C",AB62&gt;=45,"D",AB62&gt;=40,"E",AB62&lt;40,"F")</f>
        <v>B</v>
      </c>
      <c r="AC63" s="50" t="str" cm="1">
        <f t="array" ref="AC63">_xlfn.IFS(AC62&gt;= 70,"A",AC62&gt;=60,"B",AC62&gt;=50,"C",AC62&gt;=45,"D",AC62&gt;=40,"E",AC62&lt;40,"F")</f>
        <v>B</v>
      </c>
      <c r="AD63" s="50" t="str" cm="1">
        <f t="array" ref="AD63">_xlfn.IFS(AD62&gt;= 70,"A",AD62&gt;=60,"B",AD62&gt;=50,"C",AD62&gt;=45,"D",AD62&gt;=40,"E",AD62&lt;40,"F")</f>
        <v>B</v>
      </c>
      <c r="AE63" s="50" t="str" cm="1">
        <f t="array" ref="AE63">_xlfn.IFS(AE62&gt;= 70,"A",AE62&gt;=60,"B",AE62&gt;=50,"C",AE62&gt;=45,"D",AE62&gt;=40,"E",AE62&lt;40,"F")</f>
        <v>B</v>
      </c>
      <c r="AF63" s="50" t="str" cm="1">
        <f t="array" ref="AF63">_xlfn.IFS(AF62&gt;= 70,"A",AF62&gt;=60,"B",AF62&gt;=50,"C",AF62&gt;=45,"D",AF62&gt;=40,"E",AF62&lt;40,"F")</f>
        <v>B</v>
      </c>
      <c r="AG63" s="7"/>
      <c r="AH63" s="48" t="str" cm="1">
        <f t="array" ref="AH63">_xlfn.IFS(AG63&gt;= 70,"A",AG63&gt;=60,"B",AG63&gt;=50,"C",AG63&gt;=45,"D",AG63&gt;=40,"E",AG63&lt;40,"F")</f>
        <v>F</v>
      </c>
      <c r="AI63" s="7"/>
      <c r="AJ63" s="48" t="str" cm="1">
        <f t="array" ref="AJ63">_xlfn.IFS(AI63&gt;= 70,"A",AI63&gt;=60,"B",AI63&gt;=50,"C",AI63&gt;=45,"D",AI63&gt;=40,"E",AI63&lt;40,"F")</f>
        <v>F</v>
      </c>
      <c r="AK63" s="7"/>
      <c r="AL63" s="48" t="str" cm="1">
        <f t="array" ref="AL63">_xlfn.IFS(AK63&gt;= 70,"A",AK63&gt;=60,"B",AK63&gt;=50,"C",AK63&gt;=45,"D",AK63&gt;=40,"E",AK63&lt;40,"F")</f>
        <v>F</v>
      </c>
      <c r="AM63" s="56">
        <f t="shared" ref="AM63" si="109">SUMIFS($I$4:$W$4,I62:W62,"&gt;0")</f>
        <v>23</v>
      </c>
      <c r="AN63" s="47">
        <f t="shared" ref="AN63" si="110">(SUMIFS($I$4:$W$4,I62:W62,"&gt;0")-SUMIFS($I$4:$W$4,I63:W63,"F"))</f>
        <v>23</v>
      </c>
      <c r="AO63" s="56">
        <f t="shared" ref="AO63" si="111">SUMIFS($I$4:$W$4,I63:W63,"F")</f>
        <v>0</v>
      </c>
      <c r="AP63" s="76"/>
      <c r="AQ63" s="74"/>
      <c r="AR63" s="71"/>
    </row>
    <row r="64" spans="1:44" ht="30" customHeight="1" thickTop="1" x14ac:dyDescent="0.3">
      <c r="A64" s="98">
        <v>30</v>
      </c>
      <c r="B64" s="77"/>
      <c r="C64" s="75"/>
      <c r="D64" s="84"/>
      <c r="E64" s="84"/>
      <c r="F64" s="84"/>
      <c r="G64" s="84"/>
      <c r="H64" s="84"/>
      <c r="I64" s="49">
        <v>45</v>
      </c>
      <c r="J64" s="49">
        <v>46</v>
      </c>
      <c r="K64" s="49">
        <v>47</v>
      </c>
      <c r="L64" s="49">
        <v>48</v>
      </c>
      <c r="M64" s="49">
        <v>49</v>
      </c>
      <c r="N64" s="49">
        <v>50</v>
      </c>
      <c r="O64" s="49">
        <v>51</v>
      </c>
      <c r="P64" s="49">
        <v>52</v>
      </c>
      <c r="Q64" s="49">
        <v>53</v>
      </c>
      <c r="R64" s="49">
        <v>54</v>
      </c>
      <c r="S64" s="49">
        <v>55</v>
      </c>
      <c r="T64" s="49">
        <v>56</v>
      </c>
      <c r="U64" s="49">
        <v>57</v>
      </c>
      <c r="V64" s="49">
        <v>58</v>
      </c>
      <c r="W64" s="49">
        <v>59</v>
      </c>
      <c r="X64" s="49">
        <v>60</v>
      </c>
      <c r="Y64" s="49">
        <v>61</v>
      </c>
      <c r="Z64" s="49">
        <v>62</v>
      </c>
      <c r="AA64" s="49">
        <v>63</v>
      </c>
      <c r="AB64" s="49">
        <v>64</v>
      </c>
      <c r="AC64" s="49">
        <v>65</v>
      </c>
      <c r="AD64" s="49">
        <v>66</v>
      </c>
      <c r="AE64" s="49">
        <v>67</v>
      </c>
      <c r="AF64" s="49">
        <v>68</v>
      </c>
      <c r="AG64" s="7"/>
      <c r="AH64" s="48" t="str" cm="1">
        <f t="array" ref="AH64">_xlfn.IFS(AG64&gt;= 70,"A",AG64&gt;=60,"B",AG64&gt;=50,"C",AG64&gt;=45,"D",AG64&gt;=40,"E",AG64&lt;40,"F")</f>
        <v>F</v>
      </c>
      <c r="AI64" s="7"/>
      <c r="AJ64" s="48" t="str" cm="1">
        <f t="array" ref="AJ64">_xlfn.IFS(AI64&gt;= 70,"A",AI64&gt;=60,"B",AI64&gt;=50,"C",AI64&gt;=45,"D",AI64&gt;=40,"E",AI64&lt;40,"F")</f>
        <v>F</v>
      </c>
      <c r="AK64" s="7"/>
      <c r="AL64" s="48" t="str" cm="1">
        <f t="array" ref="AL64">_xlfn.IFS(AK64&gt;= 70,"A",AK64&gt;=60,"B",AK64&gt;=50,"C",AK64&gt;=45,"D",AK64&gt;=40,"E",AK64&lt;40,"F")</f>
        <v>F</v>
      </c>
      <c r="AM64" s="59"/>
      <c r="AN64" s="46"/>
      <c r="AO64" s="59"/>
      <c r="AP64" s="75" cm="1">
        <f t="array" ref="AP64">SUM(VLOOKUP(I65:W65,GRADEPOINT!$A$2:$B$7,2,0)*$I$4:$W$4)</f>
        <v>61</v>
      </c>
      <c r="AQ64" s="73">
        <f t="shared" ref="AQ64" si="112">ROUND(AP64/AM65,2)</f>
        <v>2.65</v>
      </c>
      <c r="AR64" s="72"/>
    </row>
    <row r="65" spans="1:44" ht="30" customHeight="1" thickBot="1" x14ac:dyDescent="0.35">
      <c r="A65" s="99"/>
      <c r="B65" s="83"/>
      <c r="C65" s="95"/>
      <c r="D65" s="96"/>
      <c r="E65" s="96"/>
      <c r="F65" s="96"/>
      <c r="G65" s="96"/>
      <c r="H65" s="96"/>
      <c r="I65" s="50" t="str" cm="1">
        <f t="array" ref="I65">_xlfn.IFS(I64&gt;= 70,"A",I64&gt;=60,"B",I64&gt;=50,"C",I64&gt;=45,"D",I64&gt;=40,"E",I64&lt;40,"F")</f>
        <v>D</v>
      </c>
      <c r="J65" s="50" t="str" cm="1">
        <f t="array" ref="J65">_xlfn.IFS(J64&gt;= 70,"A",J64&gt;=60,"B",J64&gt;=50,"C",J64&gt;=45,"D",J64&gt;=40,"E",J64&lt;40,"F")</f>
        <v>D</v>
      </c>
      <c r="K65" s="50" t="str" cm="1">
        <f t="array" ref="K65">_xlfn.IFS(K64&gt;= 70,"A",K64&gt;=60,"B",K64&gt;=50,"C",K64&gt;=45,"D",K64&gt;=40,"E",K64&lt;40,"F")</f>
        <v>D</v>
      </c>
      <c r="L65" s="50" t="str" cm="1">
        <f t="array" ref="L65">_xlfn.IFS(L64&gt;= 70,"A",L64&gt;=60,"B",L64&gt;=50,"C",L64&gt;=45,"D",L64&gt;=40,"E",L64&lt;40,"F")</f>
        <v>D</v>
      </c>
      <c r="M65" s="50" t="str" cm="1">
        <f t="array" ref="M65">_xlfn.IFS(M64&gt;= 70,"A",M64&gt;=60,"B",M64&gt;=50,"C",M64&gt;=45,"D",M64&gt;=40,"E",M64&lt;40,"F")</f>
        <v>D</v>
      </c>
      <c r="N65" s="50" t="str" cm="1">
        <f t="array" ref="N65">_xlfn.IFS(N64&gt;= 70,"A",N64&gt;=60,"B",N64&gt;=50,"C",N64&gt;=45,"D",N64&gt;=40,"E",N64&lt;40,"F")</f>
        <v>C</v>
      </c>
      <c r="O65" s="50" t="str" cm="1">
        <f t="array" ref="O65">_xlfn.IFS(O64&gt;= 70,"A",O64&gt;=60,"B",O64&gt;=50,"C",O64&gt;=45,"D",O64&gt;=40,"E",O64&lt;40,"F")</f>
        <v>C</v>
      </c>
      <c r="P65" s="50" t="str" cm="1">
        <f t="array" ref="P65">_xlfn.IFS(P64&gt;= 70,"A",P64&gt;=60,"B",P64&gt;=50,"C",P64&gt;=45,"D",P64&gt;=40,"E",P64&lt;40,"F")</f>
        <v>C</v>
      </c>
      <c r="Q65" s="50" t="str" cm="1">
        <f t="array" ref="Q65">_xlfn.IFS(Q64&gt;= 70,"A",Q64&gt;=60,"B",Q64&gt;=50,"C",Q64&gt;=45,"D",Q64&gt;=40,"E",Q64&lt;40,"F")</f>
        <v>C</v>
      </c>
      <c r="R65" s="50" t="str" cm="1">
        <f t="array" ref="R65">_xlfn.IFS(R64&gt;= 70,"A",R64&gt;=60,"B",R64&gt;=50,"C",R64&gt;=45,"D",R64&gt;=40,"E",R64&lt;40,"F")</f>
        <v>C</v>
      </c>
      <c r="S65" s="50" t="str" cm="1">
        <f t="array" ref="S65">_xlfn.IFS(S64&gt;= 70,"A",S64&gt;=60,"B",S64&gt;=50,"C",S64&gt;=45,"D",S64&gt;=40,"E",S64&lt;40,"F")</f>
        <v>C</v>
      </c>
      <c r="T65" s="50" t="str" cm="1">
        <f t="array" ref="T65">_xlfn.IFS(T64&gt;= 70,"A",T64&gt;=60,"B",T64&gt;=50,"C",T64&gt;=45,"D",T64&gt;=40,"E",T64&lt;40,"F")</f>
        <v>C</v>
      </c>
      <c r="U65" s="50" t="str" cm="1">
        <f t="array" ref="U65">_xlfn.IFS(U64&gt;= 70,"A",U64&gt;=60,"B",U64&gt;=50,"C",U64&gt;=45,"D",U64&gt;=40,"E",U64&lt;40,"F")</f>
        <v>C</v>
      </c>
      <c r="V65" s="50" t="str" cm="1">
        <f t="array" ref="V65">_xlfn.IFS(V64&gt;= 70,"A",V64&gt;=60,"B",V64&gt;=50,"C",V64&gt;=45,"D",V64&gt;=40,"E",V64&lt;40,"F")</f>
        <v>C</v>
      </c>
      <c r="W65" s="50" t="str" cm="1">
        <f t="array" ref="W65">_xlfn.IFS(W64&gt;= 70,"A",W64&gt;=60,"B",W64&gt;=50,"C",W64&gt;=45,"D",W64&gt;=40,"E",W64&lt;40,"F")</f>
        <v>C</v>
      </c>
      <c r="X65" s="50" t="str" cm="1">
        <f t="array" ref="X65">_xlfn.IFS(X64&gt;= 70,"A",X64&gt;=60,"B",X64&gt;=50,"C",X64&gt;=45,"D",X64&gt;=40,"E",X64&lt;40,"F")</f>
        <v>B</v>
      </c>
      <c r="Y65" s="50" t="str" cm="1">
        <f t="array" ref="Y65">_xlfn.IFS(Y64&gt;= 70,"A",Y64&gt;=60,"B",Y64&gt;=50,"C",Y64&gt;=45,"D",Y64&gt;=40,"E",Y64&lt;40,"F")</f>
        <v>B</v>
      </c>
      <c r="Z65" s="50" t="str" cm="1">
        <f t="array" ref="Z65">_xlfn.IFS(Z64&gt;= 70,"A",Z64&gt;=60,"B",Z64&gt;=50,"C",Z64&gt;=45,"D",Z64&gt;=40,"E",Z64&lt;40,"F")</f>
        <v>B</v>
      </c>
      <c r="AA65" s="50" t="str" cm="1">
        <f t="array" ref="AA65">_xlfn.IFS(AA64&gt;= 70,"A",AA64&gt;=60,"B",AA64&gt;=50,"C",AA64&gt;=45,"D",AA64&gt;=40,"E",AA64&lt;40,"F")</f>
        <v>B</v>
      </c>
      <c r="AB65" s="50" t="str" cm="1">
        <f t="array" ref="AB65">_xlfn.IFS(AB64&gt;= 70,"A",AB64&gt;=60,"B",AB64&gt;=50,"C",AB64&gt;=45,"D",AB64&gt;=40,"E",AB64&lt;40,"F")</f>
        <v>B</v>
      </c>
      <c r="AC65" s="50" t="str" cm="1">
        <f t="array" ref="AC65">_xlfn.IFS(AC64&gt;= 70,"A",AC64&gt;=60,"B",AC64&gt;=50,"C",AC64&gt;=45,"D",AC64&gt;=40,"E",AC64&lt;40,"F")</f>
        <v>B</v>
      </c>
      <c r="AD65" s="50" t="str" cm="1">
        <f t="array" ref="AD65">_xlfn.IFS(AD64&gt;= 70,"A",AD64&gt;=60,"B",AD64&gt;=50,"C",AD64&gt;=45,"D",AD64&gt;=40,"E",AD64&lt;40,"F")</f>
        <v>B</v>
      </c>
      <c r="AE65" s="50" t="str" cm="1">
        <f t="array" ref="AE65">_xlfn.IFS(AE64&gt;= 70,"A",AE64&gt;=60,"B",AE64&gt;=50,"C",AE64&gt;=45,"D",AE64&gt;=40,"E",AE64&lt;40,"F")</f>
        <v>B</v>
      </c>
      <c r="AF65" s="50" t="str" cm="1">
        <f t="array" ref="AF65">_xlfn.IFS(AF64&gt;= 70,"A",AF64&gt;=60,"B",AF64&gt;=50,"C",AF64&gt;=45,"D",AF64&gt;=40,"E",AF64&lt;40,"F")</f>
        <v>B</v>
      </c>
      <c r="AG65" s="7"/>
      <c r="AH65" s="48" t="str" cm="1">
        <f t="array" ref="AH65">_xlfn.IFS(AG65&gt;= 70,"A",AG65&gt;=60,"B",AG65&gt;=50,"C",AG65&gt;=45,"D",AG65&gt;=40,"E",AG65&lt;40,"F")</f>
        <v>F</v>
      </c>
      <c r="AI65" s="7"/>
      <c r="AJ65" s="48" t="str" cm="1">
        <f t="array" ref="AJ65">_xlfn.IFS(AI65&gt;= 70,"A",AI65&gt;=60,"B",AI65&gt;=50,"C",AI65&gt;=45,"D",AI65&gt;=40,"E",AI65&lt;40,"F")</f>
        <v>F</v>
      </c>
      <c r="AK65" s="7"/>
      <c r="AL65" s="48" t="str" cm="1">
        <f t="array" ref="AL65">_xlfn.IFS(AK65&gt;= 70,"A",AK65&gt;=60,"B",AK65&gt;=50,"C",AK65&gt;=45,"D",AK65&gt;=40,"E",AK65&lt;40,"F")</f>
        <v>F</v>
      </c>
      <c r="AM65" s="56">
        <f t="shared" ref="AM65" si="113">SUMIFS($I$4:$W$4,I64:W64,"&gt;0")</f>
        <v>23</v>
      </c>
      <c r="AN65" s="47">
        <f t="shared" ref="AN65" si="114">(SUMIFS($I$4:$W$4,I64:W64,"&gt;0")-SUMIFS($I$4:$W$4,I65:W65,"F"))</f>
        <v>23</v>
      </c>
      <c r="AO65" s="56">
        <f t="shared" ref="AO65" si="115">SUMIFS($I$4:$W$4,I65:W65,"F")</f>
        <v>0</v>
      </c>
      <c r="AP65" s="76"/>
      <c r="AQ65" s="74"/>
      <c r="AR65" s="71"/>
    </row>
    <row r="66" spans="1:44" ht="30" customHeight="1" thickTop="1" x14ac:dyDescent="0.3">
      <c r="A66" s="98">
        <v>31</v>
      </c>
      <c r="B66" s="77"/>
      <c r="C66" s="75"/>
      <c r="D66" s="84"/>
      <c r="E66" s="84"/>
      <c r="F66" s="84"/>
      <c r="G66" s="84"/>
      <c r="H66" s="84"/>
      <c r="I66" s="49">
        <v>45</v>
      </c>
      <c r="J66" s="49">
        <v>46</v>
      </c>
      <c r="K66" s="49">
        <v>47</v>
      </c>
      <c r="L66" s="49">
        <v>48</v>
      </c>
      <c r="M66" s="49">
        <v>49</v>
      </c>
      <c r="N66" s="49">
        <v>50</v>
      </c>
      <c r="O66" s="49">
        <v>51</v>
      </c>
      <c r="P66" s="49">
        <v>52</v>
      </c>
      <c r="Q66" s="49">
        <v>53</v>
      </c>
      <c r="R66" s="49">
        <v>54</v>
      </c>
      <c r="S66" s="49">
        <v>55</v>
      </c>
      <c r="T66" s="49">
        <v>56</v>
      </c>
      <c r="U66" s="49">
        <v>57</v>
      </c>
      <c r="V66" s="49">
        <v>58</v>
      </c>
      <c r="W66" s="49">
        <v>59</v>
      </c>
      <c r="X66" s="49">
        <v>60</v>
      </c>
      <c r="Y66" s="49">
        <v>61</v>
      </c>
      <c r="Z66" s="49">
        <v>62</v>
      </c>
      <c r="AA66" s="49">
        <v>63</v>
      </c>
      <c r="AB66" s="49">
        <v>64</v>
      </c>
      <c r="AC66" s="49">
        <v>65</v>
      </c>
      <c r="AD66" s="49">
        <v>66</v>
      </c>
      <c r="AE66" s="49">
        <v>67</v>
      </c>
      <c r="AF66" s="49">
        <v>68</v>
      </c>
      <c r="AG66" s="7"/>
      <c r="AH66" s="48" t="str" cm="1">
        <f t="array" ref="AH66">_xlfn.IFS(AG66&gt;= 70,"A",AG66&gt;=60,"B",AG66&gt;=50,"C",AG66&gt;=45,"D",AG66&gt;=40,"E",AG66&lt;40,"F")</f>
        <v>F</v>
      </c>
      <c r="AI66" s="7"/>
      <c r="AJ66" s="48" t="str" cm="1">
        <f t="array" ref="AJ66">_xlfn.IFS(AI66&gt;= 70,"A",AI66&gt;=60,"B",AI66&gt;=50,"C",AI66&gt;=45,"D",AI66&gt;=40,"E",AI66&lt;40,"F")</f>
        <v>F</v>
      </c>
      <c r="AK66" s="7"/>
      <c r="AL66" s="48" t="str" cm="1">
        <f t="array" ref="AL66">_xlfn.IFS(AK66&gt;= 70,"A",AK66&gt;=60,"B",AK66&gt;=50,"C",AK66&gt;=45,"D",AK66&gt;=40,"E",AK66&lt;40,"F")</f>
        <v>F</v>
      </c>
      <c r="AM66" s="59"/>
      <c r="AN66" s="46"/>
      <c r="AO66" s="59"/>
      <c r="AP66" s="75" cm="1">
        <f t="array" ref="AP66">SUM(VLOOKUP(I67:W67,GRADEPOINT!$A$2:$B$7,2,0)*$I$4:$W$4)</f>
        <v>61</v>
      </c>
      <c r="AQ66" s="73">
        <f t="shared" ref="AQ66" si="116">ROUND(AP66/AM67,2)</f>
        <v>2.65</v>
      </c>
      <c r="AR66" s="72"/>
    </row>
    <row r="67" spans="1:44" ht="30" customHeight="1" thickBot="1" x14ac:dyDescent="0.35">
      <c r="A67" s="99"/>
      <c r="B67" s="83"/>
      <c r="C67" s="95"/>
      <c r="D67" s="96"/>
      <c r="E67" s="96"/>
      <c r="F67" s="96"/>
      <c r="G67" s="96"/>
      <c r="H67" s="96"/>
      <c r="I67" s="50" t="str" cm="1">
        <f t="array" ref="I67">_xlfn.IFS(I66&gt;= 70,"A",I66&gt;=60,"B",I66&gt;=50,"C",I66&gt;=45,"D",I66&gt;=40,"E",I66&lt;40,"F")</f>
        <v>D</v>
      </c>
      <c r="J67" s="50" t="str" cm="1">
        <f t="array" ref="J67">_xlfn.IFS(J66&gt;= 70,"A",J66&gt;=60,"B",J66&gt;=50,"C",J66&gt;=45,"D",J66&gt;=40,"E",J66&lt;40,"F")</f>
        <v>D</v>
      </c>
      <c r="K67" s="50" t="str" cm="1">
        <f t="array" ref="K67">_xlfn.IFS(K66&gt;= 70,"A",K66&gt;=60,"B",K66&gt;=50,"C",K66&gt;=45,"D",K66&gt;=40,"E",K66&lt;40,"F")</f>
        <v>D</v>
      </c>
      <c r="L67" s="50" t="str" cm="1">
        <f t="array" ref="L67">_xlfn.IFS(L66&gt;= 70,"A",L66&gt;=60,"B",L66&gt;=50,"C",L66&gt;=45,"D",L66&gt;=40,"E",L66&lt;40,"F")</f>
        <v>D</v>
      </c>
      <c r="M67" s="50" t="str" cm="1">
        <f t="array" ref="M67">_xlfn.IFS(M66&gt;= 70,"A",M66&gt;=60,"B",M66&gt;=50,"C",M66&gt;=45,"D",M66&gt;=40,"E",M66&lt;40,"F")</f>
        <v>D</v>
      </c>
      <c r="N67" s="50" t="str" cm="1">
        <f t="array" ref="N67">_xlfn.IFS(N66&gt;= 70,"A",N66&gt;=60,"B",N66&gt;=50,"C",N66&gt;=45,"D",N66&gt;=40,"E",N66&lt;40,"F")</f>
        <v>C</v>
      </c>
      <c r="O67" s="50" t="str" cm="1">
        <f t="array" ref="O67">_xlfn.IFS(O66&gt;= 70,"A",O66&gt;=60,"B",O66&gt;=50,"C",O66&gt;=45,"D",O66&gt;=40,"E",O66&lt;40,"F")</f>
        <v>C</v>
      </c>
      <c r="P67" s="50" t="str" cm="1">
        <f t="array" ref="P67">_xlfn.IFS(P66&gt;= 70,"A",P66&gt;=60,"B",P66&gt;=50,"C",P66&gt;=45,"D",P66&gt;=40,"E",P66&lt;40,"F")</f>
        <v>C</v>
      </c>
      <c r="Q67" s="50" t="str" cm="1">
        <f t="array" ref="Q67">_xlfn.IFS(Q66&gt;= 70,"A",Q66&gt;=60,"B",Q66&gt;=50,"C",Q66&gt;=45,"D",Q66&gt;=40,"E",Q66&lt;40,"F")</f>
        <v>C</v>
      </c>
      <c r="R67" s="50" t="str" cm="1">
        <f t="array" ref="R67">_xlfn.IFS(R66&gt;= 70,"A",R66&gt;=60,"B",R66&gt;=50,"C",R66&gt;=45,"D",R66&gt;=40,"E",R66&lt;40,"F")</f>
        <v>C</v>
      </c>
      <c r="S67" s="50" t="str" cm="1">
        <f t="array" ref="S67">_xlfn.IFS(S66&gt;= 70,"A",S66&gt;=60,"B",S66&gt;=50,"C",S66&gt;=45,"D",S66&gt;=40,"E",S66&lt;40,"F")</f>
        <v>C</v>
      </c>
      <c r="T67" s="50" t="str" cm="1">
        <f t="array" ref="T67">_xlfn.IFS(T66&gt;= 70,"A",T66&gt;=60,"B",T66&gt;=50,"C",T66&gt;=45,"D",T66&gt;=40,"E",T66&lt;40,"F")</f>
        <v>C</v>
      </c>
      <c r="U67" s="50" t="str" cm="1">
        <f t="array" ref="U67">_xlfn.IFS(U66&gt;= 70,"A",U66&gt;=60,"B",U66&gt;=50,"C",U66&gt;=45,"D",U66&gt;=40,"E",U66&lt;40,"F")</f>
        <v>C</v>
      </c>
      <c r="V67" s="50" t="str" cm="1">
        <f t="array" ref="V67">_xlfn.IFS(V66&gt;= 70,"A",V66&gt;=60,"B",V66&gt;=50,"C",V66&gt;=45,"D",V66&gt;=40,"E",V66&lt;40,"F")</f>
        <v>C</v>
      </c>
      <c r="W67" s="50" t="str" cm="1">
        <f t="array" ref="W67">_xlfn.IFS(W66&gt;= 70,"A",W66&gt;=60,"B",W66&gt;=50,"C",W66&gt;=45,"D",W66&gt;=40,"E",W66&lt;40,"F")</f>
        <v>C</v>
      </c>
      <c r="X67" s="50" t="str" cm="1">
        <f t="array" ref="X67">_xlfn.IFS(X66&gt;= 70,"A",X66&gt;=60,"B",X66&gt;=50,"C",X66&gt;=45,"D",X66&gt;=40,"E",X66&lt;40,"F")</f>
        <v>B</v>
      </c>
      <c r="Y67" s="50" t="str" cm="1">
        <f t="array" ref="Y67">_xlfn.IFS(Y66&gt;= 70,"A",Y66&gt;=60,"B",Y66&gt;=50,"C",Y66&gt;=45,"D",Y66&gt;=40,"E",Y66&lt;40,"F")</f>
        <v>B</v>
      </c>
      <c r="Z67" s="50" t="str" cm="1">
        <f t="array" ref="Z67">_xlfn.IFS(Z66&gt;= 70,"A",Z66&gt;=60,"B",Z66&gt;=50,"C",Z66&gt;=45,"D",Z66&gt;=40,"E",Z66&lt;40,"F")</f>
        <v>B</v>
      </c>
      <c r="AA67" s="50" t="str" cm="1">
        <f t="array" ref="AA67">_xlfn.IFS(AA66&gt;= 70,"A",AA66&gt;=60,"B",AA66&gt;=50,"C",AA66&gt;=45,"D",AA66&gt;=40,"E",AA66&lt;40,"F")</f>
        <v>B</v>
      </c>
      <c r="AB67" s="50" t="str" cm="1">
        <f t="array" ref="AB67">_xlfn.IFS(AB66&gt;= 70,"A",AB66&gt;=60,"B",AB66&gt;=50,"C",AB66&gt;=45,"D",AB66&gt;=40,"E",AB66&lt;40,"F")</f>
        <v>B</v>
      </c>
      <c r="AC67" s="50" t="str" cm="1">
        <f t="array" ref="AC67">_xlfn.IFS(AC66&gt;= 70,"A",AC66&gt;=60,"B",AC66&gt;=50,"C",AC66&gt;=45,"D",AC66&gt;=40,"E",AC66&lt;40,"F")</f>
        <v>B</v>
      </c>
      <c r="AD67" s="50" t="str" cm="1">
        <f t="array" ref="AD67">_xlfn.IFS(AD66&gt;= 70,"A",AD66&gt;=60,"B",AD66&gt;=50,"C",AD66&gt;=45,"D",AD66&gt;=40,"E",AD66&lt;40,"F")</f>
        <v>B</v>
      </c>
      <c r="AE67" s="50" t="str" cm="1">
        <f t="array" ref="AE67">_xlfn.IFS(AE66&gt;= 70,"A",AE66&gt;=60,"B",AE66&gt;=50,"C",AE66&gt;=45,"D",AE66&gt;=40,"E",AE66&lt;40,"F")</f>
        <v>B</v>
      </c>
      <c r="AF67" s="50" t="str" cm="1">
        <f t="array" ref="AF67">_xlfn.IFS(AF66&gt;= 70,"A",AF66&gt;=60,"B",AF66&gt;=50,"C",AF66&gt;=45,"D",AF66&gt;=40,"E",AF66&lt;40,"F")</f>
        <v>B</v>
      </c>
      <c r="AG67" s="7"/>
      <c r="AH67" s="48" t="str" cm="1">
        <f t="array" ref="AH67">_xlfn.IFS(AG67&gt;= 70,"A",AG67&gt;=60,"B",AG67&gt;=50,"C",AG67&gt;=45,"D",AG67&gt;=40,"E",AG67&lt;40,"F")</f>
        <v>F</v>
      </c>
      <c r="AI67" s="7"/>
      <c r="AJ67" s="48" t="str" cm="1">
        <f t="array" ref="AJ67">_xlfn.IFS(AI67&gt;= 70,"A",AI67&gt;=60,"B",AI67&gt;=50,"C",AI67&gt;=45,"D",AI67&gt;=40,"E",AI67&lt;40,"F")</f>
        <v>F</v>
      </c>
      <c r="AK67" s="7"/>
      <c r="AL67" s="48" t="str" cm="1">
        <f t="array" ref="AL67">_xlfn.IFS(AK67&gt;= 70,"A",AK67&gt;=60,"B",AK67&gt;=50,"C",AK67&gt;=45,"D",AK67&gt;=40,"E",AK67&lt;40,"F")</f>
        <v>F</v>
      </c>
      <c r="AM67" s="56">
        <f t="shared" ref="AM67" si="117">SUMIFS($I$4:$W$4,I66:W66,"&gt;0")</f>
        <v>23</v>
      </c>
      <c r="AN67" s="47">
        <f t="shared" ref="AN67" si="118">(SUMIFS($I$4:$W$4,I66:W66,"&gt;0")-SUMIFS($I$4:$W$4,I67:W67,"F"))</f>
        <v>23</v>
      </c>
      <c r="AO67" s="56">
        <f t="shared" ref="AO67" si="119">SUMIFS($I$4:$W$4,I67:W67,"F")</f>
        <v>0</v>
      </c>
      <c r="AP67" s="76"/>
      <c r="AQ67" s="74"/>
      <c r="AR67" s="71"/>
    </row>
    <row r="68" spans="1:44" ht="30" customHeight="1" thickTop="1" x14ac:dyDescent="0.3">
      <c r="A68" s="98">
        <v>32</v>
      </c>
      <c r="B68" s="77"/>
      <c r="C68" s="75"/>
      <c r="D68" s="84"/>
      <c r="E68" s="84"/>
      <c r="F68" s="84"/>
      <c r="G68" s="84"/>
      <c r="H68" s="84"/>
      <c r="I68" s="49">
        <v>45</v>
      </c>
      <c r="J68" s="49">
        <v>46</v>
      </c>
      <c r="K68" s="49">
        <v>47</v>
      </c>
      <c r="L68" s="49">
        <v>48</v>
      </c>
      <c r="M68" s="49">
        <v>49</v>
      </c>
      <c r="N68" s="49">
        <v>50</v>
      </c>
      <c r="O68" s="49">
        <v>51</v>
      </c>
      <c r="P68" s="49">
        <v>52</v>
      </c>
      <c r="Q68" s="49">
        <v>53</v>
      </c>
      <c r="R68" s="49">
        <v>54</v>
      </c>
      <c r="S68" s="49">
        <v>55</v>
      </c>
      <c r="T68" s="49">
        <v>56</v>
      </c>
      <c r="U68" s="49">
        <v>57</v>
      </c>
      <c r="V68" s="49">
        <v>58</v>
      </c>
      <c r="W68" s="49">
        <v>59</v>
      </c>
      <c r="X68" s="49">
        <v>60</v>
      </c>
      <c r="Y68" s="49">
        <v>61</v>
      </c>
      <c r="Z68" s="49">
        <v>62</v>
      </c>
      <c r="AA68" s="49">
        <v>63</v>
      </c>
      <c r="AB68" s="49">
        <v>64</v>
      </c>
      <c r="AC68" s="49">
        <v>65</v>
      </c>
      <c r="AD68" s="49">
        <v>66</v>
      </c>
      <c r="AE68" s="49">
        <v>67</v>
      </c>
      <c r="AF68" s="49">
        <v>68</v>
      </c>
      <c r="AG68" s="7"/>
      <c r="AH68" s="48" t="str" cm="1">
        <f t="array" ref="AH68">_xlfn.IFS(AG68&gt;= 70,"A",AG68&gt;=60,"B",AG68&gt;=50,"C",AG68&gt;=45,"D",AG68&gt;=40,"E",AG68&lt;40,"F")</f>
        <v>F</v>
      </c>
      <c r="AI68" s="7"/>
      <c r="AJ68" s="48" t="str" cm="1">
        <f t="array" ref="AJ68">_xlfn.IFS(AI68&gt;= 70,"A",AI68&gt;=60,"B",AI68&gt;=50,"C",AI68&gt;=45,"D",AI68&gt;=40,"E",AI68&lt;40,"F")</f>
        <v>F</v>
      </c>
      <c r="AK68" s="7"/>
      <c r="AL68" s="48" t="str" cm="1">
        <f t="array" ref="AL68">_xlfn.IFS(AK68&gt;= 70,"A",AK68&gt;=60,"B",AK68&gt;=50,"C",AK68&gt;=45,"D",AK68&gt;=40,"E",AK68&lt;40,"F")</f>
        <v>F</v>
      </c>
      <c r="AM68" s="59"/>
      <c r="AN68" s="46"/>
      <c r="AO68" s="59"/>
      <c r="AP68" s="75" cm="1">
        <f t="array" ref="AP68">SUM(VLOOKUP(I69:W69,GRADEPOINT!$A$2:$B$7,2,0)*$I$4:$W$4)</f>
        <v>61</v>
      </c>
      <c r="AQ68" s="73">
        <f t="shared" ref="AQ68" si="120">ROUND(AP68/AM69,2)</f>
        <v>2.65</v>
      </c>
      <c r="AR68" s="72"/>
    </row>
    <row r="69" spans="1:44" ht="30" customHeight="1" thickBot="1" x14ac:dyDescent="0.35">
      <c r="A69" s="99"/>
      <c r="B69" s="83"/>
      <c r="C69" s="95"/>
      <c r="D69" s="96"/>
      <c r="E69" s="96"/>
      <c r="F69" s="96"/>
      <c r="G69" s="96"/>
      <c r="H69" s="96"/>
      <c r="I69" s="50" t="str" cm="1">
        <f t="array" ref="I69">_xlfn.IFS(I68&gt;= 70,"A",I68&gt;=60,"B",I68&gt;=50,"C",I68&gt;=45,"D",I68&gt;=40,"E",I68&lt;40,"F")</f>
        <v>D</v>
      </c>
      <c r="J69" s="50" t="str" cm="1">
        <f t="array" ref="J69">_xlfn.IFS(J68&gt;= 70,"A",J68&gt;=60,"B",J68&gt;=50,"C",J68&gt;=45,"D",J68&gt;=40,"E",J68&lt;40,"F")</f>
        <v>D</v>
      </c>
      <c r="K69" s="50" t="str" cm="1">
        <f t="array" ref="K69">_xlfn.IFS(K68&gt;= 70,"A",K68&gt;=60,"B",K68&gt;=50,"C",K68&gt;=45,"D",K68&gt;=40,"E",K68&lt;40,"F")</f>
        <v>D</v>
      </c>
      <c r="L69" s="50" t="str" cm="1">
        <f t="array" ref="L69">_xlfn.IFS(L68&gt;= 70,"A",L68&gt;=60,"B",L68&gt;=50,"C",L68&gt;=45,"D",L68&gt;=40,"E",L68&lt;40,"F")</f>
        <v>D</v>
      </c>
      <c r="M69" s="50" t="str" cm="1">
        <f t="array" ref="M69">_xlfn.IFS(M68&gt;= 70,"A",M68&gt;=60,"B",M68&gt;=50,"C",M68&gt;=45,"D",M68&gt;=40,"E",M68&lt;40,"F")</f>
        <v>D</v>
      </c>
      <c r="N69" s="50" t="str" cm="1">
        <f t="array" ref="N69">_xlfn.IFS(N68&gt;= 70,"A",N68&gt;=60,"B",N68&gt;=50,"C",N68&gt;=45,"D",N68&gt;=40,"E",N68&lt;40,"F")</f>
        <v>C</v>
      </c>
      <c r="O69" s="50" t="str" cm="1">
        <f t="array" ref="O69">_xlfn.IFS(O68&gt;= 70,"A",O68&gt;=60,"B",O68&gt;=50,"C",O68&gt;=45,"D",O68&gt;=40,"E",O68&lt;40,"F")</f>
        <v>C</v>
      </c>
      <c r="P69" s="50" t="str" cm="1">
        <f t="array" ref="P69">_xlfn.IFS(P68&gt;= 70,"A",P68&gt;=60,"B",P68&gt;=50,"C",P68&gt;=45,"D",P68&gt;=40,"E",P68&lt;40,"F")</f>
        <v>C</v>
      </c>
      <c r="Q69" s="50" t="str" cm="1">
        <f t="array" ref="Q69">_xlfn.IFS(Q68&gt;= 70,"A",Q68&gt;=60,"B",Q68&gt;=50,"C",Q68&gt;=45,"D",Q68&gt;=40,"E",Q68&lt;40,"F")</f>
        <v>C</v>
      </c>
      <c r="R69" s="50" t="str" cm="1">
        <f t="array" ref="R69">_xlfn.IFS(R68&gt;= 70,"A",R68&gt;=60,"B",R68&gt;=50,"C",R68&gt;=45,"D",R68&gt;=40,"E",R68&lt;40,"F")</f>
        <v>C</v>
      </c>
      <c r="S69" s="50" t="str" cm="1">
        <f t="array" ref="S69">_xlfn.IFS(S68&gt;= 70,"A",S68&gt;=60,"B",S68&gt;=50,"C",S68&gt;=45,"D",S68&gt;=40,"E",S68&lt;40,"F")</f>
        <v>C</v>
      </c>
      <c r="T69" s="50" t="str" cm="1">
        <f t="array" ref="T69">_xlfn.IFS(T68&gt;= 70,"A",T68&gt;=60,"B",T68&gt;=50,"C",T68&gt;=45,"D",T68&gt;=40,"E",T68&lt;40,"F")</f>
        <v>C</v>
      </c>
      <c r="U69" s="50" t="str" cm="1">
        <f t="array" ref="U69">_xlfn.IFS(U68&gt;= 70,"A",U68&gt;=60,"B",U68&gt;=50,"C",U68&gt;=45,"D",U68&gt;=40,"E",U68&lt;40,"F")</f>
        <v>C</v>
      </c>
      <c r="V69" s="50" t="str" cm="1">
        <f t="array" ref="V69">_xlfn.IFS(V68&gt;= 70,"A",V68&gt;=60,"B",V68&gt;=50,"C",V68&gt;=45,"D",V68&gt;=40,"E",V68&lt;40,"F")</f>
        <v>C</v>
      </c>
      <c r="W69" s="50" t="str" cm="1">
        <f t="array" ref="W69">_xlfn.IFS(W68&gt;= 70,"A",W68&gt;=60,"B",W68&gt;=50,"C",W68&gt;=45,"D",W68&gt;=40,"E",W68&lt;40,"F")</f>
        <v>C</v>
      </c>
      <c r="X69" s="50" t="str" cm="1">
        <f t="array" ref="X69">_xlfn.IFS(X68&gt;= 70,"A",X68&gt;=60,"B",X68&gt;=50,"C",X68&gt;=45,"D",X68&gt;=40,"E",X68&lt;40,"F")</f>
        <v>B</v>
      </c>
      <c r="Y69" s="50" t="str" cm="1">
        <f t="array" ref="Y69">_xlfn.IFS(Y68&gt;= 70,"A",Y68&gt;=60,"B",Y68&gt;=50,"C",Y68&gt;=45,"D",Y68&gt;=40,"E",Y68&lt;40,"F")</f>
        <v>B</v>
      </c>
      <c r="Z69" s="50" t="str" cm="1">
        <f t="array" ref="Z69">_xlfn.IFS(Z68&gt;= 70,"A",Z68&gt;=60,"B",Z68&gt;=50,"C",Z68&gt;=45,"D",Z68&gt;=40,"E",Z68&lt;40,"F")</f>
        <v>B</v>
      </c>
      <c r="AA69" s="50" t="str" cm="1">
        <f t="array" ref="AA69">_xlfn.IFS(AA68&gt;= 70,"A",AA68&gt;=60,"B",AA68&gt;=50,"C",AA68&gt;=45,"D",AA68&gt;=40,"E",AA68&lt;40,"F")</f>
        <v>B</v>
      </c>
      <c r="AB69" s="50" t="str" cm="1">
        <f t="array" ref="AB69">_xlfn.IFS(AB68&gt;= 70,"A",AB68&gt;=60,"B",AB68&gt;=50,"C",AB68&gt;=45,"D",AB68&gt;=40,"E",AB68&lt;40,"F")</f>
        <v>B</v>
      </c>
      <c r="AC69" s="50" t="str" cm="1">
        <f t="array" ref="AC69">_xlfn.IFS(AC68&gt;= 70,"A",AC68&gt;=60,"B",AC68&gt;=50,"C",AC68&gt;=45,"D",AC68&gt;=40,"E",AC68&lt;40,"F")</f>
        <v>B</v>
      </c>
      <c r="AD69" s="50" t="str" cm="1">
        <f t="array" ref="AD69">_xlfn.IFS(AD68&gt;= 70,"A",AD68&gt;=60,"B",AD68&gt;=50,"C",AD68&gt;=45,"D",AD68&gt;=40,"E",AD68&lt;40,"F")</f>
        <v>B</v>
      </c>
      <c r="AE69" s="50" t="str" cm="1">
        <f t="array" ref="AE69">_xlfn.IFS(AE68&gt;= 70,"A",AE68&gt;=60,"B",AE68&gt;=50,"C",AE68&gt;=45,"D",AE68&gt;=40,"E",AE68&lt;40,"F")</f>
        <v>B</v>
      </c>
      <c r="AF69" s="50" t="str" cm="1">
        <f t="array" ref="AF69">_xlfn.IFS(AF68&gt;= 70,"A",AF68&gt;=60,"B",AF68&gt;=50,"C",AF68&gt;=45,"D",AF68&gt;=40,"E",AF68&lt;40,"F")</f>
        <v>B</v>
      </c>
      <c r="AG69" s="7"/>
      <c r="AH69" s="48" t="str" cm="1">
        <f t="array" ref="AH69">_xlfn.IFS(AG69&gt;= 70,"A",AG69&gt;=60,"B",AG69&gt;=50,"C",AG69&gt;=45,"D",AG69&gt;=40,"E",AG69&lt;40,"F")</f>
        <v>F</v>
      </c>
      <c r="AI69" s="7"/>
      <c r="AJ69" s="48" t="str" cm="1">
        <f t="array" ref="AJ69">_xlfn.IFS(AI69&gt;= 70,"A",AI69&gt;=60,"B",AI69&gt;=50,"C",AI69&gt;=45,"D",AI69&gt;=40,"E",AI69&lt;40,"F")</f>
        <v>F</v>
      </c>
      <c r="AK69" s="7"/>
      <c r="AL69" s="48" t="str" cm="1">
        <f t="array" ref="AL69">_xlfn.IFS(AK69&gt;= 70,"A",AK69&gt;=60,"B",AK69&gt;=50,"C",AK69&gt;=45,"D",AK69&gt;=40,"E",AK69&lt;40,"F")</f>
        <v>F</v>
      </c>
      <c r="AM69" s="56">
        <f t="shared" ref="AM69" si="121">SUMIFS($I$4:$W$4,I68:W68,"&gt;0")</f>
        <v>23</v>
      </c>
      <c r="AN69" s="47">
        <f t="shared" ref="AN69" si="122">(SUMIFS($I$4:$W$4,I68:W68,"&gt;0")-SUMIFS($I$4:$W$4,I69:W69,"F"))</f>
        <v>23</v>
      </c>
      <c r="AO69" s="56">
        <f t="shared" ref="AO69" si="123">SUMIFS($I$4:$W$4,I69:W69,"F")</f>
        <v>0</v>
      </c>
      <c r="AP69" s="76"/>
      <c r="AQ69" s="74"/>
      <c r="AR69" s="71"/>
    </row>
    <row r="70" spans="1:44" ht="30" customHeight="1" thickTop="1" x14ac:dyDescent="0.3">
      <c r="A70" s="98">
        <v>33</v>
      </c>
      <c r="B70" s="77"/>
      <c r="C70" s="75"/>
      <c r="D70" s="84"/>
      <c r="E70" s="84"/>
      <c r="F70" s="84"/>
      <c r="G70" s="84"/>
      <c r="H70" s="84"/>
      <c r="I70" s="49">
        <v>45</v>
      </c>
      <c r="J70" s="49">
        <v>46</v>
      </c>
      <c r="K70" s="49">
        <v>47</v>
      </c>
      <c r="L70" s="49">
        <v>48</v>
      </c>
      <c r="M70" s="49">
        <v>49</v>
      </c>
      <c r="N70" s="49">
        <v>50</v>
      </c>
      <c r="O70" s="49">
        <v>51</v>
      </c>
      <c r="P70" s="49">
        <v>52</v>
      </c>
      <c r="Q70" s="49">
        <v>53</v>
      </c>
      <c r="R70" s="49">
        <v>54</v>
      </c>
      <c r="S70" s="49">
        <v>55</v>
      </c>
      <c r="T70" s="49">
        <v>56</v>
      </c>
      <c r="U70" s="49">
        <v>57</v>
      </c>
      <c r="V70" s="49">
        <v>58</v>
      </c>
      <c r="W70" s="49">
        <v>59</v>
      </c>
      <c r="X70" s="49">
        <v>60</v>
      </c>
      <c r="Y70" s="49">
        <v>61</v>
      </c>
      <c r="Z70" s="49">
        <v>62</v>
      </c>
      <c r="AA70" s="49">
        <v>63</v>
      </c>
      <c r="AB70" s="49">
        <v>64</v>
      </c>
      <c r="AC70" s="49">
        <v>65</v>
      </c>
      <c r="AD70" s="49">
        <v>66</v>
      </c>
      <c r="AE70" s="49">
        <v>67</v>
      </c>
      <c r="AF70" s="49">
        <v>68</v>
      </c>
      <c r="AG70" s="7"/>
      <c r="AH70" s="48" t="str" cm="1">
        <f t="array" ref="AH70">_xlfn.IFS(AG70&gt;= 70,"A",AG70&gt;=60,"B",AG70&gt;=50,"C",AG70&gt;=45,"D",AG70&gt;=40,"E",AG70&lt;40,"F")</f>
        <v>F</v>
      </c>
      <c r="AI70" s="7"/>
      <c r="AJ70" s="48" t="str" cm="1">
        <f t="array" ref="AJ70">_xlfn.IFS(AI70&gt;= 70,"A",AI70&gt;=60,"B",AI70&gt;=50,"C",AI70&gt;=45,"D",AI70&gt;=40,"E",AI70&lt;40,"F")</f>
        <v>F</v>
      </c>
      <c r="AK70" s="7"/>
      <c r="AL70" s="48" t="str" cm="1">
        <f t="array" ref="AL70">_xlfn.IFS(AK70&gt;= 70,"A",AK70&gt;=60,"B",AK70&gt;=50,"C",AK70&gt;=45,"D",AK70&gt;=40,"E",AK70&lt;40,"F")</f>
        <v>F</v>
      </c>
      <c r="AM70" s="59"/>
      <c r="AN70" s="46"/>
      <c r="AO70" s="59"/>
      <c r="AP70" s="75" cm="1">
        <f t="array" ref="AP70">SUM(VLOOKUP(I71:W71,GRADEPOINT!$A$2:$B$7,2,0)*$I$4:$W$4)</f>
        <v>61</v>
      </c>
      <c r="AQ70" s="73">
        <f t="shared" ref="AQ70" si="124">ROUND(AP70/AM71,2)</f>
        <v>2.65</v>
      </c>
      <c r="AR70" s="72"/>
    </row>
    <row r="71" spans="1:44" ht="30" customHeight="1" thickBot="1" x14ac:dyDescent="0.35">
      <c r="A71" s="99"/>
      <c r="B71" s="83"/>
      <c r="C71" s="95"/>
      <c r="D71" s="96"/>
      <c r="E71" s="96"/>
      <c r="F71" s="96"/>
      <c r="G71" s="96"/>
      <c r="H71" s="96"/>
      <c r="I71" s="50" t="str" cm="1">
        <f t="array" ref="I71">_xlfn.IFS(I70&gt;= 70,"A",I70&gt;=60,"B",I70&gt;=50,"C",I70&gt;=45,"D",I70&gt;=40,"E",I70&lt;40,"F")</f>
        <v>D</v>
      </c>
      <c r="J71" s="50" t="str" cm="1">
        <f t="array" ref="J71">_xlfn.IFS(J70&gt;= 70,"A",J70&gt;=60,"B",J70&gt;=50,"C",J70&gt;=45,"D",J70&gt;=40,"E",J70&lt;40,"F")</f>
        <v>D</v>
      </c>
      <c r="K71" s="50" t="str" cm="1">
        <f t="array" ref="K71">_xlfn.IFS(K70&gt;= 70,"A",K70&gt;=60,"B",K70&gt;=50,"C",K70&gt;=45,"D",K70&gt;=40,"E",K70&lt;40,"F")</f>
        <v>D</v>
      </c>
      <c r="L71" s="50" t="str" cm="1">
        <f t="array" ref="L71">_xlfn.IFS(L70&gt;= 70,"A",L70&gt;=60,"B",L70&gt;=50,"C",L70&gt;=45,"D",L70&gt;=40,"E",L70&lt;40,"F")</f>
        <v>D</v>
      </c>
      <c r="M71" s="50" t="str" cm="1">
        <f t="array" ref="M71">_xlfn.IFS(M70&gt;= 70,"A",M70&gt;=60,"B",M70&gt;=50,"C",M70&gt;=45,"D",M70&gt;=40,"E",M70&lt;40,"F")</f>
        <v>D</v>
      </c>
      <c r="N71" s="50" t="str" cm="1">
        <f t="array" ref="N71">_xlfn.IFS(N70&gt;= 70,"A",N70&gt;=60,"B",N70&gt;=50,"C",N70&gt;=45,"D",N70&gt;=40,"E",N70&lt;40,"F")</f>
        <v>C</v>
      </c>
      <c r="O71" s="50" t="str" cm="1">
        <f t="array" ref="O71">_xlfn.IFS(O70&gt;= 70,"A",O70&gt;=60,"B",O70&gt;=50,"C",O70&gt;=45,"D",O70&gt;=40,"E",O70&lt;40,"F")</f>
        <v>C</v>
      </c>
      <c r="P71" s="50" t="str" cm="1">
        <f t="array" ref="P71">_xlfn.IFS(P70&gt;= 70,"A",P70&gt;=60,"B",P70&gt;=50,"C",P70&gt;=45,"D",P70&gt;=40,"E",P70&lt;40,"F")</f>
        <v>C</v>
      </c>
      <c r="Q71" s="50" t="str" cm="1">
        <f t="array" ref="Q71">_xlfn.IFS(Q70&gt;= 70,"A",Q70&gt;=60,"B",Q70&gt;=50,"C",Q70&gt;=45,"D",Q70&gt;=40,"E",Q70&lt;40,"F")</f>
        <v>C</v>
      </c>
      <c r="R71" s="50" t="str" cm="1">
        <f t="array" ref="R71">_xlfn.IFS(R70&gt;= 70,"A",R70&gt;=60,"B",R70&gt;=50,"C",R70&gt;=45,"D",R70&gt;=40,"E",R70&lt;40,"F")</f>
        <v>C</v>
      </c>
      <c r="S71" s="50" t="str" cm="1">
        <f t="array" ref="S71">_xlfn.IFS(S70&gt;= 70,"A",S70&gt;=60,"B",S70&gt;=50,"C",S70&gt;=45,"D",S70&gt;=40,"E",S70&lt;40,"F")</f>
        <v>C</v>
      </c>
      <c r="T71" s="50" t="str" cm="1">
        <f t="array" ref="T71">_xlfn.IFS(T70&gt;= 70,"A",T70&gt;=60,"B",T70&gt;=50,"C",T70&gt;=45,"D",T70&gt;=40,"E",T70&lt;40,"F")</f>
        <v>C</v>
      </c>
      <c r="U71" s="50" t="str" cm="1">
        <f t="array" ref="U71">_xlfn.IFS(U70&gt;= 70,"A",U70&gt;=60,"B",U70&gt;=50,"C",U70&gt;=45,"D",U70&gt;=40,"E",U70&lt;40,"F")</f>
        <v>C</v>
      </c>
      <c r="V71" s="50" t="str" cm="1">
        <f t="array" ref="V71">_xlfn.IFS(V70&gt;= 70,"A",V70&gt;=60,"B",V70&gt;=50,"C",V70&gt;=45,"D",V70&gt;=40,"E",V70&lt;40,"F")</f>
        <v>C</v>
      </c>
      <c r="W71" s="50" t="str" cm="1">
        <f t="array" ref="W71">_xlfn.IFS(W70&gt;= 70,"A",W70&gt;=60,"B",W70&gt;=50,"C",W70&gt;=45,"D",W70&gt;=40,"E",W70&lt;40,"F")</f>
        <v>C</v>
      </c>
      <c r="X71" s="50" t="str" cm="1">
        <f t="array" ref="X71">_xlfn.IFS(X70&gt;= 70,"A",X70&gt;=60,"B",X70&gt;=50,"C",X70&gt;=45,"D",X70&gt;=40,"E",X70&lt;40,"F")</f>
        <v>B</v>
      </c>
      <c r="Y71" s="50" t="str" cm="1">
        <f t="array" ref="Y71">_xlfn.IFS(Y70&gt;= 70,"A",Y70&gt;=60,"B",Y70&gt;=50,"C",Y70&gt;=45,"D",Y70&gt;=40,"E",Y70&lt;40,"F")</f>
        <v>B</v>
      </c>
      <c r="Z71" s="50" t="str" cm="1">
        <f t="array" ref="Z71">_xlfn.IFS(Z70&gt;= 70,"A",Z70&gt;=60,"B",Z70&gt;=50,"C",Z70&gt;=45,"D",Z70&gt;=40,"E",Z70&lt;40,"F")</f>
        <v>B</v>
      </c>
      <c r="AA71" s="50" t="str" cm="1">
        <f t="array" ref="AA71">_xlfn.IFS(AA70&gt;= 70,"A",AA70&gt;=60,"B",AA70&gt;=50,"C",AA70&gt;=45,"D",AA70&gt;=40,"E",AA70&lt;40,"F")</f>
        <v>B</v>
      </c>
      <c r="AB71" s="50" t="str" cm="1">
        <f t="array" ref="AB71">_xlfn.IFS(AB70&gt;= 70,"A",AB70&gt;=60,"B",AB70&gt;=50,"C",AB70&gt;=45,"D",AB70&gt;=40,"E",AB70&lt;40,"F")</f>
        <v>B</v>
      </c>
      <c r="AC71" s="50" t="str" cm="1">
        <f t="array" ref="AC71">_xlfn.IFS(AC70&gt;= 70,"A",AC70&gt;=60,"B",AC70&gt;=50,"C",AC70&gt;=45,"D",AC70&gt;=40,"E",AC70&lt;40,"F")</f>
        <v>B</v>
      </c>
      <c r="AD71" s="50" t="str" cm="1">
        <f t="array" ref="AD71">_xlfn.IFS(AD70&gt;= 70,"A",AD70&gt;=60,"B",AD70&gt;=50,"C",AD70&gt;=45,"D",AD70&gt;=40,"E",AD70&lt;40,"F")</f>
        <v>B</v>
      </c>
      <c r="AE71" s="50" t="str" cm="1">
        <f t="array" ref="AE71">_xlfn.IFS(AE70&gt;= 70,"A",AE70&gt;=60,"B",AE70&gt;=50,"C",AE70&gt;=45,"D",AE70&gt;=40,"E",AE70&lt;40,"F")</f>
        <v>B</v>
      </c>
      <c r="AF71" s="50" t="str" cm="1">
        <f t="array" ref="AF71">_xlfn.IFS(AF70&gt;= 70,"A",AF70&gt;=60,"B",AF70&gt;=50,"C",AF70&gt;=45,"D",AF70&gt;=40,"E",AF70&lt;40,"F")</f>
        <v>B</v>
      </c>
      <c r="AG71" s="7"/>
      <c r="AH71" s="48" t="str" cm="1">
        <f t="array" ref="AH71">_xlfn.IFS(AG71&gt;= 70,"A",AG71&gt;=60,"B",AG71&gt;=50,"C",AG71&gt;=45,"D",AG71&gt;=40,"E",AG71&lt;40,"F")</f>
        <v>F</v>
      </c>
      <c r="AI71" s="7"/>
      <c r="AJ71" s="48" t="str" cm="1">
        <f t="array" ref="AJ71">_xlfn.IFS(AI71&gt;= 70,"A",AI71&gt;=60,"B",AI71&gt;=50,"C",AI71&gt;=45,"D",AI71&gt;=40,"E",AI71&lt;40,"F")</f>
        <v>F</v>
      </c>
      <c r="AK71" s="7"/>
      <c r="AL71" s="48" t="str" cm="1">
        <f t="array" ref="AL71">_xlfn.IFS(AK71&gt;= 70,"A",AK71&gt;=60,"B",AK71&gt;=50,"C",AK71&gt;=45,"D",AK71&gt;=40,"E",AK71&lt;40,"F")</f>
        <v>F</v>
      </c>
      <c r="AM71" s="56">
        <f t="shared" ref="AM71" si="125">SUMIFS($I$4:$W$4,I70:W70,"&gt;0")</f>
        <v>23</v>
      </c>
      <c r="AN71" s="47">
        <f t="shared" ref="AN71" si="126">(SUMIFS($I$4:$W$4,I70:W70,"&gt;0")-SUMIFS($I$4:$W$4,I71:W71,"F"))</f>
        <v>23</v>
      </c>
      <c r="AO71" s="56">
        <f t="shared" ref="AO71" si="127">SUMIFS($I$4:$W$4,I71:W71,"F")</f>
        <v>0</v>
      </c>
      <c r="AP71" s="76"/>
      <c r="AQ71" s="74"/>
      <c r="AR71" s="71"/>
    </row>
    <row r="72" spans="1:44" ht="30" customHeight="1" thickTop="1" x14ac:dyDescent="0.3">
      <c r="A72" s="98">
        <v>34</v>
      </c>
      <c r="B72" s="77"/>
      <c r="C72" s="75"/>
      <c r="D72" s="84"/>
      <c r="E72" s="84"/>
      <c r="F72" s="84"/>
      <c r="G72" s="84"/>
      <c r="H72" s="84"/>
      <c r="I72" s="49">
        <v>45</v>
      </c>
      <c r="J72" s="49">
        <v>46</v>
      </c>
      <c r="K72" s="49">
        <v>47</v>
      </c>
      <c r="L72" s="49">
        <v>48</v>
      </c>
      <c r="M72" s="49">
        <v>49</v>
      </c>
      <c r="N72" s="49">
        <v>50</v>
      </c>
      <c r="O72" s="49">
        <v>51</v>
      </c>
      <c r="P72" s="49">
        <v>52</v>
      </c>
      <c r="Q72" s="49">
        <v>53</v>
      </c>
      <c r="R72" s="49">
        <v>54</v>
      </c>
      <c r="S72" s="49">
        <v>55</v>
      </c>
      <c r="T72" s="49">
        <v>56</v>
      </c>
      <c r="U72" s="49">
        <v>57</v>
      </c>
      <c r="V72" s="49">
        <v>58</v>
      </c>
      <c r="W72" s="49">
        <v>59</v>
      </c>
      <c r="X72" s="49">
        <v>60</v>
      </c>
      <c r="Y72" s="49">
        <v>61</v>
      </c>
      <c r="Z72" s="49">
        <v>62</v>
      </c>
      <c r="AA72" s="49">
        <v>63</v>
      </c>
      <c r="AB72" s="49">
        <v>64</v>
      </c>
      <c r="AC72" s="49">
        <v>65</v>
      </c>
      <c r="AD72" s="49">
        <v>66</v>
      </c>
      <c r="AE72" s="49">
        <v>67</v>
      </c>
      <c r="AF72" s="49">
        <v>68</v>
      </c>
      <c r="AG72" s="7"/>
      <c r="AH72" s="48" t="str" cm="1">
        <f t="array" ref="AH72">_xlfn.IFS(AG72&gt;= 70,"A",AG72&gt;=60,"B",AG72&gt;=50,"C",AG72&gt;=45,"D",AG72&gt;=40,"E",AG72&lt;40,"F")</f>
        <v>F</v>
      </c>
      <c r="AI72" s="7"/>
      <c r="AJ72" s="48" t="str" cm="1">
        <f t="array" ref="AJ72">_xlfn.IFS(AI72&gt;= 70,"A",AI72&gt;=60,"B",AI72&gt;=50,"C",AI72&gt;=45,"D",AI72&gt;=40,"E",AI72&lt;40,"F")</f>
        <v>F</v>
      </c>
      <c r="AK72" s="7"/>
      <c r="AL72" s="48" t="str" cm="1">
        <f t="array" ref="AL72">_xlfn.IFS(AK72&gt;= 70,"A",AK72&gt;=60,"B",AK72&gt;=50,"C",AK72&gt;=45,"D",AK72&gt;=40,"E",AK72&lt;40,"F")</f>
        <v>F</v>
      </c>
      <c r="AM72" s="59"/>
      <c r="AN72" s="46"/>
      <c r="AO72" s="59"/>
      <c r="AP72" s="75" cm="1">
        <f t="array" ref="AP72">SUM(VLOOKUP(I73:W73,GRADEPOINT!$A$2:$B$7,2,0)*$I$4:$W$4)</f>
        <v>61</v>
      </c>
      <c r="AQ72" s="73">
        <f t="shared" ref="AQ72" si="128">ROUND(AP72/AM73,2)</f>
        <v>2.65</v>
      </c>
      <c r="AR72" s="72"/>
    </row>
    <row r="73" spans="1:44" ht="30" customHeight="1" thickBot="1" x14ac:dyDescent="0.35">
      <c r="A73" s="99"/>
      <c r="B73" s="83"/>
      <c r="C73" s="95"/>
      <c r="D73" s="96"/>
      <c r="E73" s="96"/>
      <c r="F73" s="96"/>
      <c r="G73" s="96"/>
      <c r="H73" s="96"/>
      <c r="I73" s="50" t="str" cm="1">
        <f t="array" ref="I73">_xlfn.IFS(I72&gt;= 70,"A",I72&gt;=60,"B",I72&gt;=50,"C",I72&gt;=45,"D",I72&gt;=40,"E",I72&lt;40,"F")</f>
        <v>D</v>
      </c>
      <c r="J73" s="50" t="str" cm="1">
        <f t="array" ref="J73">_xlfn.IFS(J72&gt;= 70,"A",J72&gt;=60,"B",J72&gt;=50,"C",J72&gt;=45,"D",J72&gt;=40,"E",J72&lt;40,"F")</f>
        <v>D</v>
      </c>
      <c r="K73" s="50" t="str" cm="1">
        <f t="array" ref="K73">_xlfn.IFS(K72&gt;= 70,"A",K72&gt;=60,"B",K72&gt;=50,"C",K72&gt;=45,"D",K72&gt;=40,"E",K72&lt;40,"F")</f>
        <v>D</v>
      </c>
      <c r="L73" s="50" t="str" cm="1">
        <f t="array" ref="L73">_xlfn.IFS(L72&gt;= 70,"A",L72&gt;=60,"B",L72&gt;=50,"C",L72&gt;=45,"D",L72&gt;=40,"E",L72&lt;40,"F")</f>
        <v>D</v>
      </c>
      <c r="M73" s="50" t="str" cm="1">
        <f t="array" ref="M73">_xlfn.IFS(M72&gt;= 70,"A",M72&gt;=60,"B",M72&gt;=50,"C",M72&gt;=45,"D",M72&gt;=40,"E",M72&lt;40,"F")</f>
        <v>D</v>
      </c>
      <c r="N73" s="50" t="str" cm="1">
        <f t="array" ref="N73">_xlfn.IFS(N72&gt;= 70,"A",N72&gt;=60,"B",N72&gt;=50,"C",N72&gt;=45,"D",N72&gt;=40,"E",N72&lt;40,"F")</f>
        <v>C</v>
      </c>
      <c r="O73" s="50" t="str" cm="1">
        <f t="array" ref="O73">_xlfn.IFS(O72&gt;= 70,"A",O72&gt;=60,"B",O72&gt;=50,"C",O72&gt;=45,"D",O72&gt;=40,"E",O72&lt;40,"F")</f>
        <v>C</v>
      </c>
      <c r="P73" s="50" t="str" cm="1">
        <f t="array" ref="P73">_xlfn.IFS(P72&gt;= 70,"A",P72&gt;=60,"B",P72&gt;=50,"C",P72&gt;=45,"D",P72&gt;=40,"E",P72&lt;40,"F")</f>
        <v>C</v>
      </c>
      <c r="Q73" s="50" t="str" cm="1">
        <f t="array" ref="Q73">_xlfn.IFS(Q72&gt;= 70,"A",Q72&gt;=60,"B",Q72&gt;=50,"C",Q72&gt;=45,"D",Q72&gt;=40,"E",Q72&lt;40,"F")</f>
        <v>C</v>
      </c>
      <c r="R73" s="50" t="str" cm="1">
        <f t="array" ref="R73">_xlfn.IFS(R72&gt;= 70,"A",R72&gt;=60,"B",R72&gt;=50,"C",R72&gt;=45,"D",R72&gt;=40,"E",R72&lt;40,"F")</f>
        <v>C</v>
      </c>
      <c r="S73" s="50" t="str" cm="1">
        <f t="array" ref="S73">_xlfn.IFS(S72&gt;= 70,"A",S72&gt;=60,"B",S72&gt;=50,"C",S72&gt;=45,"D",S72&gt;=40,"E",S72&lt;40,"F")</f>
        <v>C</v>
      </c>
      <c r="T73" s="50" t="str" cm="1">
        <f t="array" ref="T73">_xlfn.IFS(T72&gt;= 70,"A",T72&gt;=60,"B",T72&gt;=50,"C",T72&gt;=45,"D",T72&gt;=40,"E",T72&lt;40,"F")</f>
        <v>C</v>
      </c>
      <c r="U73" s="50" t="str" cm="1">
        <f t="array" ref="U73">_xlfn.IFS(U72&gt;= 70,"A",U72&gt;=60,"B",U72&gt;=50,"C",U72&gt;=45,"D",U72&gt;=40,"E",U72&lt;40,"F")</f>
        <v>C</v>
      </c>
      <c r="V73" s="50" t="str" cm="1">
        <f t="array" ref="V73">_xlfn.IFS(V72&gt;= 70,"A",V72&gt;=60,"B",V72&gt;=50,"C",V72&gt;=45,"D",V72&gt;=40,"E",V72&lt;40,"F")</f>
        <v>C</v>
      </c>
      <c r="W73" s="50" t="str" cm="1">
        <f t="array" ref="W73">_xlfn.IFS(W72&gt;= 70,"A",W72&gt;=60,"B",W72&gt;=50,"C",W72&gt;=45,"D",W72&gt;=40,"E",W72&lt;40,"F")</f>
        <v>C</v>
      </c>
      <c r="X73" s="50" t="str" cm="1">
        <f t="array" ref="X73">_xlfn.IFS(X72&gt;= 70,"A",X72&gt;=60,"B",X72&gt;=50,"C",X72&gt;=45,"D",X72&gt;=40,"E",X72&lt;40,"F")</f>
        <v>B</v>
      </c>
      <c r="Y73" s="50" t="str" cm="1">
        <f t="array" ref="Y73">_xlfn.IFS(Y72&gt;= 70,"A",Y72&gt;=60,"B",Y72&gt;=50,"C",Y72&gt;=45,"D",Y72&gt;=40,"E",Y72&lt;40,"F")</f>
        <v>B</v>
      </c>
      <c r="Z73" s="50" t="str" cm="1">
        <f t="array" ref="Z73">_xlfn.IFS(Z72&gt;= 70,"A",Z72&gt;=60,"B",Z72&gt;=50,"C",Z72&gt;=45,"D",Z72&gt;=40,"E",Z72&lt;40,"F")</f>
        <v>B</v>
      </c>
      <c r="AA73" s="50" t="str" cm="1">
        <f t="array" ref="AA73">_xlfn.IFS(AA72&gt;= 70,"A",AA72&gt;=60,"B",AA72&gt;=50,"C",AA72&gt;=45,"D",AA72&gt;=40,"E",AA72&lt;40,"F")</f>
        <v>B</v>
      </c>
      <c r="AB73" s="50" t="str" cm="1">
        <f t="array" ref="AB73">_xlfn.IFS(AB72&gt;= 70,"A",AB72&gt;=60,"B",AB72&gt;=50,"C",AB72&gt;=45,"D",AB72&gt;=40,"E",AB72&lt;40,"F")</f>
        <v>B</v>
      </c>
      <c r="AC73" s="50" t="str" cm="1">
        <f t="array" ref="AC73">_xlfn.IFS(AC72&gt;= 70,"A",AC72&gt;=60,"B",AC72&gt;=50,"C",AC72&gt;=45,"D",AC72&gt;=40,"E",AC72&lt;40,"F")</f>
        <v>B</v>
      </c>
      <c r="AD73" s="50" t="str" cm="1">
        <f t="array" ref="AD73">_xlfn.IFS(AD72&gt;= 70,"A",AD72&gt;=60,"B",AD72&gt;=50,"C",AD72&gt;=45,"D",AD72&gt;=40,"E",AD72&lt;40,"F")</f>
        <v>B</v>
      </c>
      <c r="AE73" s="50" t="str" cm="1">
        <f t="array" ref="AE73">_xlfn.IFS(AE72&gt;= 70,"A",AE72&gt;=60,"B",AE72&gt;=50,"C",AE72&gt;=45,"D",AE72&gt;=40,"E",AE72&lt;40,"F")</f>
        <v>B</v>
      </c>
      <c r="AF73" s="50" t="str" cm="1">
        <f t="array" ref="AF73">_xlfn.IFS(AF72&gt;= 70,"A",AF72&gt;=60,"B",AF72&gt;=50,"C",AF72&gt;=45,"D",AF72&gt;=40,"E",AF72&lt;40,"F")</f>
        <v>B</v>
      </c>
      <c r="AG73" s="7"/>
      <c r="AH73" s="48" t="str" cm="1">
        <f t="array" ref="AH73">_xlfn.IFS(AG73&gt;= 70,"A",AG73&gt;=60,"B",AG73&gt;=50,"C",AG73&gt;=45,"D",AG73&gt;=40,"E",AG73&lt;40,"F")</f>
        <v>F</v>
      </c>
      <c r="AI73" s="7"/>
      <c r="AJ73" s="48" t="str" cm="1">
        <f t="array" ref="AJ73">_xlfn.IFS(AI73&gt;= 70,"A",AI73&gt;=60,"B",AI73&gt;=50,"C",AI73&gt;=45,"D",AI73&gt;=40,"E",AI73&lt;40,"F")</f>
        <v>F</v>
      </c>
      <c r="AK73" s="7"/>
      <c r="AL73" s="48" t="str" cm="1">
        <f t="array" ref="AL73">_xlfn.IFS(AK73&gt;= 70,"A",AK73&gt;=60,"B",AK73&gt;=50,"C",AK73&gt;=45,"D",AK73&gt;=40,"E",AK73&lt;40,"F")</f>
        <v>F</v>
      </c>
      <c r="AM73" s="56">
        <f t="shared" ref="AM73" si="129">SUMIFS($I$4:$W$4,I72:W72,"&gt;0")</f>
        <v>23</v>
      </c>
      <c r="AN73" s="47">
        <f t="shared" ref="AN73" si="130">(SUMIFS($I$4:$W$4,I72:W72,"&gt;0")-SUMIFS($I$4:$W$4,I73:W73,"F"))</f>
        <v>23</v>
      </c>
      <c r="AO73" s="56">
        <f t="shared" ref="AO73" si="131">SUMIFS($I$4:$W$4,I73:W73,"F")</f>
        <v>0</v>
      </c>
      <c r="AP73" s="76"/>
      <c r="AQ73" s="74"/>
      <c r="AR73" s="71"/>
    </row>
    <row r="74" spans="1:44" ht="30" customHeight="1" thickTop="1" x14ac:dyDescent="0.3">
      <c r="A74" s="98">
        <v>35</v>
      </c>
      <c r="B74" s="77"/>
      <c r="C74" s="75"/>
      <c r="D74" s="84"/>
      <c r="E74" s="84"/>
      <c r="F74" s="84"/>
      <c r="G74" s="84"/>
      <c r="H74" s="84"/>
      <c r="I74" s="49">
        <v>45</v>
      </c>
      <c r="J74" s="49">
        <v>46</v>
      </c>
      <c r="K74" s="49">
        <v>47</v>
      </c>
      <c r="L74" s="49">
        <v>48</v>
      </c>
      <c r="M74" s="49">
        <v>49</v>
      </c>
      <c r="N74" s="49">
        <v>50</v>
      </c>
      <c r="O74" s="49">
        <v>51</v>
      </c>
      <c r="P74" s="49">
        <v>52</v>
      </c>
      <c r="Q74" s="49">
        <v>53</v>
      </c>
      <c r="R74" s="49">
        <v>54</v>
      </c>
      <c r="S74" s="49">
        <v>55</v>
      </c>
      <c r="T74" s="49">
        <v>56</v>
      </c>
      <c r="U74" s="49">
        <v>57</v>
      </c>
      <c r="V74" s="49">
        <v>58</v>
      </c>
      <c r="W74" s="49">
        <v>59</v>
      </c>
      <c r="X74" s="49">
        <v>60</v>
      </c>
      <c r="Y74" s="49">
        <v>61</v>
      </c>
      <c r="Z74" s="49">
        <v>62</v>
      </c>
      <c r="AA74" s="49">
        <v>63</v>
      </c>
      <c r="AB74" s="49">
        <v>64</v>
      </c>
      <c r="AC74" s="49">
        <v>65</v>
      </c>
      <c r="AD74" s="49">
        <v>66</v>
      </c>
      <c r="AE74" s="49">
        <v>67</v>
      </c>
      <c r="AF74" s="49">
        <v>68</v>
      </c>
      <c r="AG74" s="7"/>
      <c r="AH74" s="48" t="str" cm="1">
        <f t="array" ref="AH74">_xlfn.IFS(AG74&gt;= 70,"A",AG74&gt;=60,"B",AG74&gt;=50,"C",AG74&gt;=45,"D",AG74&gt;=40,"E",AG74&lt;40,"F")</f>
        <v>F</v>
      </c>
      <c r="AI74" s="7"/>
      <c r="AJ74" s="48" t="str" cm="1">
        <f t="array" ref="AJ74">_xlfn.IFS(AI74&gt;= 70,"A",AI74&gt;=60,"B",AI74&gt;=50,"C",AI74&gt;=45,"D",AI74&gt;=40,"E",AI74&lt;40,"F")</f>
        <v>F</v>
      </c>
      <c r="AK74" s="7"/>
      <c r="AL74" s="48" t="str" cm="1">
        <f t="array" ref="AL74">_xlfn.IFS(AK74&gt;= 70,"A",AK74&gt;=60,"B",AK74&gt;=50,"C",AK74&gt;=45,"D",AK74&gt;=40,"E",AK74&lt;40,"F")</f>
        <v>F</v>
      </c>
      <c r="AM74" s="59"/>
      <c r="AN74" s="46"/>
      <c r="AO74" s="59"/>
      <c r="AP74" s="75" cm="1">
        <f t="array" ref="AP74">SUM(VLOOKUP(I75:W75,GRADEPOINT!$A$2:$B$7,2,0)*$I$4:$W$4)</f>
        <v>61</v>
      </c>
      <c r="AQ74" s="73">
        <f t="shared" ref="AQ74" si="132">ROUND(AP74/AM75,2)</f>
        <v>2.65</v>
      </c>
      <c r="AR74" s="72"/>
    </row>
    <row r="75" spans="1:44" ht="30" customHeight="1" thickBot="1" x14ac:dyDescent="0.35">
      <c r="A75" s="99"/>
      <c r="B75" s="83"/>
      <c r="C75" s="95"/>
      <c r="D75" s="96"/>
      <c r="E75" s="96"/>
      <c r="F75" s="96"/>
      <c r="G75" s="96"/>
      <c r="H75" s="96"/>
      <c r="I75" s="50" t="str" cm="1">
        <f t="array" ref="I75">_xlfn.IFS(I74&gt;= 70,"A",I74&gt;=60,"B",I74&gt;=50,"C",I74&gt;=45,"D",I74&gt;=40,"E",I74&lt;40,"F")</f>
        <v>D</v>
      </c>
      <c r="J75" s="50" t="str" cm="1">
        <f t="array" ref="J75">_xlfn.IFS(J74&gt;= 70,"A",J74&gt;=60,"B",J74&gt;=50,"C",J74&gt;=45,"D",J74&gt;=40,"E",J74&lt;40,"F")</f>
        <v>D</v>
      </c>
      <c r="K75" s="50" t="str" cm="1">
        <f t="array" ref="K75">_xlfn.IFS(K74&gt;= 70,"A",K74&gt;=60,"B",K74&gt;=50,"C",K74&gt;=45,"D",K74&gt;=40,"E",K74&lt;40,"F")</f>
        <v>D</v>
      </c>
      <c r="L75" s="50" t="str" cm="1">
        <f t="array" ref="L75">_xlfn.IFS(L74&gt;= 70,"A",L74&gt;=60,"B",L74&gt;=50,"C",L74&gt;=45,"D",L74&gt;=40,"E",L74&lt;40,"F")</f>
        <v>D</v>
      </c>
      <c r="M75" s="50" t="str" cm="1">
        <f t="array" ref="M75">_xlfn.IFS(M74&gt;= 70,"A",M74&gt;=60,"B",M74&gt;=50,"C",M74&gt;=45,"D",M74&gt;=40,"E",M74&lt;40,"F")</f>
        <v>D</v>
      </c>
      <c r="N75" s="50" t="str" cm="1">
        <f t="array" ref="N75">_xlfn.IFS(N74&gt;= 70,"A",N74&gt;=60,"B",N74&gt;=50,"C",N74&gt;=45,"D",N74&gt;=40,"E",N74&lt;40,"F")</f>
        <v>C</v>
      </c>
      <c r="O75" s="50" t="str" cm="1">
        <f t="array" ref="O75">_xlfn.IFS(O74&gt;= 70,"A",O74&gt;=60,"B",O74&gt;=50,"C",O74&gt;=45,"D",O74&gt;=40,"E",O74&lt;40,"F")</f>
        <v>C</v>
      </c>
      <c r="P75" s="50" t="str" cm="1">
        <f t="array" ref="P75">_xlfn.IFS(P74&gt;= 70,"A",P74&gt;=60,"B",P74&gt;=50,"C",P74&gt;=45,"D",P74&gt;=40,"E",P74&lt;40,"F")</f>
        <v>C</v>
      </c>
      <c r="Q75" s="50" t="str" cm="1">
        <f t="array" ref="Q75">_xlfn.IFS(Q74&gt;= 70,"A",Q74&gt;=60,"B",Q74&gt;=50,"C",Q74&gt;=45,"D",Q74&gt;=40,"E",Q74&lt;40,"F")</f>
        <v>C</v>
      </c>
      <c r="R75" s="50" t="str" cm="1">
        <f t="array" ref="R75">_xlfn.IFS(R74&gt;= 70,"A",R74&gt;=60,"B",R74&gt;=50,"C",R74&gt;=45,"D",R74&gt;=40,"E",R74&lt;40,"F")</f>
        <v>C</v>
      </c>
      <c r="S75" s="50" t="str" cm="1">
        <f t="array" ref="S75">_xlfn.IFS(S74&gt;= 70,"A",S74&gt;=60,"B",S74&gt;=50,"C",S74&gt;=45,"D",S74&gt;=40,"E",S74&lt;40,"F")</f>
        <v>C</v>
      </c>
      <c r="T75" s="50" t="str" cm="1">
        <f t="array" ref="T75">_xlfn.IFS(T74&gt;= 70,"A",T74&gt;=60,"B",T74&gt;=50,"C",T74&gt;=45,"D",T74&gt;=40,"E",T74&lt;40,"F")</f>
        <v>C</v>
      </c>
      <c r="U75" s="50" t="str" cm="1">
        <f t="array" ref="U75">_xlfn.IFS(U74&gt;= 70,"A",U74&gt;=60,"B",U74&gt;=50,"C",U74&gt;=45,"D",U74&gt;=40,"E",U74&lt;40,"F")</f>
        <v>C</v>
      </c>
      <c r="V75" s="50" t="str" cm="1">
        <f t="array" ref="V75">_xlfn.IFS(V74&gt;= 70,"A",V74&gt;=60,"B",V74&gt;=50,"C",V74&gt;=45,"D",V74&gt;=40,"E",V74&lt;40,"F")</f>
        <v>C</v>
      </c>
      <c r="W75" s="50" t="str" cm="1">
        <f t="array" ref="W75">_xlfn.IFS(W74&gt;= 70,"A",W74&gt;=60,"B",W74&gt;=50,"C",W74&gt;=45,"D",W74&gt;=40,"E",W74&lt;40,"F")</f>
        <v>C</v>
      </c>
      <c r="X75" s="50" t="str" cm="1">
        <f t="array" ref="X75">_xlfn.IFS(X74&gt;= 70,"A",X74&gt;=60,"B",X74&gt;=50,"C",X74&gt;=45,"D",X74&gt;=40,"E",X74&lt;40,"F")</f>
        <v>B</v>
      </c>
      <c r="Y75" s="50" t="str" cm="1">
        <f t="array" ref="Y75">_xlfn.IFS(Y74&gt;= 70,"A",Y74&gt;=60,"B",Y74&gt;=50,"C",Y74&gt;=45,"D",Y74&gt;=40,"E",Y74&lt;40,"F")</f>
        <v>B</v>
      </c>
      <c r="Z75" s="50" t="str" cm="1">
        <f t="array" ref="Z75">_xlfn.IFS(Z74&gt;= 70,"A",Z74&gt;=60,"B",Z74&gt;=50,"C",Z74&gt;=45,"D",Z74&gt;=40,"E",Z74&lt;40,"F")</f>
        <v>B</v>
      </c>
      <c r="AA75" s="50" t="str" cm="1">
        <f t="array" ref="AA75">_xlfn.IFS(AA74&gt;= 70,"A",AA74&gt;=60,"B",AA74&gt;=50,"C",AA74&gt;=45,"D",AA74&gt;=40,"E",AA74&lt;40,"F")</f>
        <v>B</v>
      </c>
      <c r="AB75" s="50" t="str" cm="1">
        <f t="array" ref="AB75">_xlfn.IFS(AB74&gt;= 70,"A",AB74&gt;=60,"B",AB74&gt;=50,"C",AB74&gt;=45,"D",AB74&gt;=40,"E",AB74&lt;40,"F")</f>
        <v>B</v>
      </c>
      <c r="AC75" s="50" t="str" cm="1">
        <f t="array" ref="AC75">_xlfn.IFS(AC74&gt;= 70,"A",AC74&gt;=60,"B",AC74&gt;=50,"C",AC74&gt;=45,"D",AC74&gt;=40,"E",AC74&lt;40,"F")</f>
        <v>B</v>
      </c>
      <c r="AD75" s="50" t="str" cm="1">
        <f t="array" ref="AD75">_xlfn.IFS(AD74&gt;= 70,"A",AD74&gt;=60,"B",AD74&gt;=50,"C",AD74&gt;=45,"D",AD74&gt;=40,"E",AD74&lt;40,"F")</f>
        <v>B</v>
      </c>
      <c r="AE75" s="50" t="str" cm="1">
        <f t="array" ref="AE75">_xlfn.IFS(AE74&gt;= 70,"A",AE74&gt;=60,"B",AE74&gt;=50,"C",AE74&gt;=45,"D",AE74&gt;=40,"E",AE74&lt;40,"F")</f>
        <v>B</v>
      </c>
      <c r="AF75" s="50" t="str" cm="1">
        <f t="array" ref="AF75">_xlfn.IFS(AF74&gt;= 70,"A",AF74&gt;=60,"B",AF74&gt;=50,"C",AF74&gt;=45,"D",AF74&gt;=40,"E",AF74&lt;40,"F")</f>
        <v>B</v>
      </c>
      <c r="AG75" s="7"/>
      <c r="AH75" s="48" t="str" cm="1">
        <f t="array" ref="AH75">_xlfn.IFS(AG75&gt;= 70,"A",AG75&gt;=60,"B",AG75&gt;=50,"C",AG75&gt;=45,"D",AG75&gt;=40,"E",AG75&lt;40,"F")</f>
        <v>F</v>
      </c>
      <c r="AI75" s="7"/>
      <c r="AJ75" s="48" t="str" cm="1">
        <f t="array" ref="AJ75">_xlfn.IFS(AI75&gt;= 70,"A",AI75&gt;=60,"B",AI75&gt;=50,"C",AI75&gt;=45,"D",AI75&gt;=40,"E",AI75&lt;40,"F")</f>
        <v>F</v>
      </c>
      <c r="AK75" s="7"/>
      <c r="AL75" s="48" t="str" cm="1">
        <f t="array" ref="AL75">_xlfn.IFS(AK75&gt;= 70,"A",AK75&gt;=60,"B",AK75&gt;=50,"C",AK75&gt;=45,"D",AK75&gt;=40,"E",AK75&lt;40,"F")</f>
        <v>F</v>
      </c>
      <c r="AM75" s="56">
        <f t="shared" ref="AM75" si="133">SUMIFS($I$4:$W$4,I74:W74,"&gt;0")</f>
        <v>23</v>
      </c>
      <c r="AN75" s="47">
        <f t="shared" ref="AN75" si="134">(SUMIFS($I$4:$W$4,I74:W74,"&gt;0")-SUMIFS($I$4:$W$4,I75:W75,"F"))</f>
        <v>23</v>
      </c>
      <c r="AO75" s="56">
        <f t="shared" ref="AO75" si="135">SUMIFS($I$4:$W$4,I75:W75,"F")</f>
        <v>0</v>
      </c>
      <c r="AP75" s="76"/>
      <c r="AQ75" s="74"/>
      <c r="AR75" s="71"/>
    </row>
    <row r="76" spans="1:44" ht="30" customHeight="1" thickTop="1" x14ac:dyDescent="0.3">
      <c r="A76" s="98">
        <v>36</v>
      </c>
      <c r="B76" s="77"/>
      <c r="C76" s="75"/>
      <c r="D76" s="84"/>
      <c r="E76" s="84"/>
      <c r="F76" s="84"/>
      <c r="G76" s="84"/>
      <c r="H76" s="84"/>
      <c r="I76" s="49">
        <v>45</v>
      </c>
      <c r="J76" s="49">
        <v>46</v>
      </c>
      <c r="K76" s="49">
        <v>47</v>
      </c>
      <c r="L76" s="49">
        <v>48</v>
      </c>
      <c r="M76" s="49">
        <v>49</v>
      </c>
      <c r="N76" s="49">
        <v>50</v>
      </c>
      <c r="O76" s="49">
        <v>51</v>
      </c>
      <c r="P76" s="49">
        <v>52</v>
      </c>
      <c r="Q76" s="49">
        <v>53</v>
      </c>
      <c r="R76" s="49">
        <v>54</v>
      </c>
      <c r="S76" s="49">
        <v>55</v>
      </c>
      <c r="T76" s="49">
        <v>56</v>
      </c>
      <c r="U76" s="49">
        <v>57</v>
      </c>
      <c r="V76" s="49">
        <v>58</v>
      </c>
      <c r="W76" s="49">
        <v>59</v>
      </c>
      <c r="X76" s="49">
        <v>60</v>
      </c>
      <c r="Y76" s="49">
        <v>61</v>
      </c>
      <c r="Z76" s="49">
        <v>62</v>
      </c>
      <c r="AA76" s="49">
        <v>63</v>
      </c>
      <c r="AB76" s="49">
        <v>64</v>
      </c>
      <c r="AC76" s="49">
        <v>65</v>
      </c>
      <c r="AD76" s="49">
        <v>66</v>
      </c>
      <c r="AE76" s="49">
        <v>67</v>
      </c>
      <c r="AF76" s="49">
        <v>68</v>
      </c>
      <c r="AG76" s="7"/>
      <c r="AH76" s="48" t="str" cm="1">
        <f t="array" ref="AH76">_xlfn.IFS(AG76&gt;= 70,"A",AG76&gt;=60,"B",AG76&gt;=50,"C",AG76&gt;=45,"D",AG76&gt;=40,"E",AG76&lt;40,"F")</f>
        <v>F</v>
      </c>
      <c r="AI76" s="7"/>
      <c r="AJ76" s="48" t="str" cm="1">
        <f t="array" ref="AJ76">_xlfn.IFS(AI76&gt;= 70,"A",AI76&gt;=60,"B",AI76&gt;=50,"C",AI76&gt;=45,"D",AI76&gt;=40,"E",AI76&lt;40,"F")</f>
        <v>F</v>
      </c>
      <c r="AK76" s="7"/>
      <c r="AL76" s="48" t="str" cm="1">
        <f t="array" ref="AL76">_xlfn.IFS(AK76&gt;= 70,"A",AK76&gt;=60,"B",AK76&gt;=50,"C",AK76&gt;=45,"D",AK76&gt;=40,"E",AK76&lt;40,"F")</f>
        <v>F</v>
      </c>
      <c r="AM76" s="59"/>
      <c r="AN76" s="46"/>
      <c r="AO76" s="59"/>
      <c r="AP76" s="75" cm="1">
        <f t="array" ref="AP76">SUM(VLOOKUP(I77:W77,GRADEPOINT!$A$2:$B$7,2,0)*$I$4:$W$4)</f>
        <v>61</v>
      </c>
      <c r="AQ76" s="73">
        <f t="shared" ref="AQ76" si="136">ROUND(AP76/AM77,2)</f>
        <v>2.65</v>
      </c>
      <c r="AR76" s="72"/>
    </row>
    <row r="77" spans="1:44" ht="30" customHeight="1" thickBot="1" x14ac:dyDescent="0.35">
      <c r="A77" s="99"/>
      <c r="B77" s="83"/>
      <c r="C77" s="76"/>
      <c r="D77" s="89"/>
      <c r="E77" s="89"/>
      <c r="F77" s="89"/>
      <c r="G77" s="89"/>
      <c r="H77" s="89"/>
      <c r="I77" s="50" t="str" cm="1">
        <f t="array" ref="I77">_xlfn.IFS(I76&gt;= 70,"A",I76&gt;=60,"B",I76&gt;=50,"C",I76&gt;=45,"D",I76&gt;=40,"E",I76&lt;40,"F")</f>
        <v>D</v>
      </c>
      <c r="J77" s="50" t="str" cm="1">
        <f t="array" ref="J77">_xlfn.IFS(J76&gt;= 70,"A",J76&gt;=60,"B",J76&gt;=50,"C",J76&gt;=45,"D",J76&gt;=40,"E",J76&lt;40,"F")</f>
        <v>D</v>
      </c>
      <c r="K77" s="50" t="str" cm="1">
        <f t="array" ref="K77">_xlfn.IFS(K76&gt;= 70,"A",K76&gt;=60,"B",K76&gt;=50,"C",K76&gt;=45,"D",K76&gt;=40,"E",K76&lt;40,"F")</f>
        <v>D</v>
      </c>
      <c r="L77" s="50" t="str" cm="1">
        <f t="array" ref="L77">_xlfn.IFS(L76&gt;= 70,"A",L76&gt;=60,"B",L76&gt;=50,"C",L76&gt;=45,"D",L76&gt;=40,"E",L76&lt;40,"F")</f>
        <v>D</v>
      </c>
      <c r="M77" s="50" t="str" cm="1">
        <f t="array" ref="M77">_xlfn.IFS(M76&gt;= 70,"A",M76&gt;=60,"B",M76&gt;=50,"C",M76&gt;=45,"D",M76&gt;=40,"E",M76&lt;40,"F")</f>
        <v>D</v>
      </c>
      <c r="N77" s="50" t="str" cm="1">
        <f t="array" ref="N77">_xlfn.IFS(N76&gt;= 70,"A",N76&gt;=60,"B",N76&gt;=50,"C",N76&gt;=45,"D",N76&gt;=40,"E",N76&lt;40,"F")</f>
        <v>C</v>
      </c>
      <c r="O77" s="50" t="str" cm="1">
        <f t="array" ref="O77">_xlfn.IFS(O76&gt;= 70,"A",O76&gt;=60,"B",O76&gt;=50,"C",O76&gt;=45,"D",O76&gt;=40,"E",O76&lt;40,"F")</f>
        <v>C</v>
      </c>
      <c r="P77" s="50" t="str" cm="1">
        <f t="array" ref="P77">_xlfn.IFS(P76&gt;= 70,"A",P76&gt;=60,"B",P76&gt;=50,"C",P76&gt;=45,"D",P76&gt;=40,"E",P76&lt;40,"F")</f>
        <v>C</v>
      </c>
      <c r="Q77" s="50" t="str" cm="1">
        <f t="array" ref="Q77">_xlfn.IFS(Q76&gt;= 70,"A",Q76&gt;=60,"B",Q76&gt;=50,"C",Q76&gt;=45,"D",Q76&gt;=40,"E",Q76&lt;40,"F")</f>
        <v>C</v>
      </c>
      <c r="R77" s="50" t="str" cm="1">
        <f t="array" ref="R77">_xlfn.IFS(R76&gt;= 70,"A",R76&gt;=60,"B",R76&gt;=50,"C",R76&gt;=45,"D",R76&gt;=40,"E",R76&lt;40,"F")</f>
        <v>C</v>
      </c>
      <c r="S77" s="50" t="str" cm="1">
        <f t="array" ref="S77">_xlfn.IFS(S76&gt;= 70,"A",S76&gt;=60,"B",S76&gt;=50,"C",S76&gt;=45,"D",S76&gt;=40,"E",S76&lt;40,"F")</f>
        <v>C</v>
      </c>
      <c r="T77" s="50" t="str" cm="1">
        <f t="array" ref="T77">_xlfn.IFS(T76&gt;= 70,"A",T76&gt;=60,"B",T76&gt;=50,"C",T76&gt;=45,"D",T76&gt;=40,"E",T76&lt;40,"F")</f>
        <v>C</v>
      </c>
      <c r="U77" s="50" t="str" cm="1">
        <f t="array" ref="U77">_xlfn.IFS(U76&gt;= 70,"A",U76&gt;=60,"B",U76&gt;=50,"C",U76&gt;=45,"D",U76&gt;=40,"E",U76&lt;40,"F")</f>
        <v>C</v>
      </c>
      <c r="V77" s="50" t="str" cm="1">
        <f t="array" ref="V77">_xlfn.IFS(V76&gt;= 70,"A",V76&gt;=60,"B",V76&gt;=50,"C",V76&gt;=45,"D",V76&gt;=40,"E",V76&lt;40,"F")</f>
        <v>C</v>
      </c>
      <c r="W77" s="50" t="str" cm="1">
        <f t="array" ref="W77">_xlfn.IFS(W76&gt;= 70,"A",W76&gt;=60,"B",W76&gt;=50,"C",W76&gt;=45,"D",W76&gt;=40,"E",W76&lt;40,"F")</f>
        <v>C</v>
      </c>
      <c r="X77" s="50" t="str" cm="1">
        <f t="array" ref="X77">_xlfn.IFS(X76&gt;= 70,"A",X76&gt;=60,"B",X76&gt;=50,"C",X76&gt;=45,"D",X76&gt;=40,"E",X76&lt;40,"F")</f>
        <v>B</v>
      </c>
      <c r="Y77" s="50" t="str" cm="1">
        <f t="array" ref="Y77">_xlfn.IFS(Y76&gt;= 70,"A",Y76&gt;=60,"B",Y76&gt;=50,"C",Y76&gt;=45,"D",Y76&gt;=40,"E",Y76&lt;40,"F")</f>
        <v>B</v>
      </c>
      <c r="Z77" s="50" t="str" cm="1">
        <f t="array" ref="Z77">_xlfn.IFS(Z76&gt;= 70,"A",Z76&gt;=60,"B",Z76&gt;=50,"C",Z76&gt;=45,"D",Z76&gt;=40,"E",Z76&lt;40,"F")</f>
        <v>B</v>
      </c>
      <c r="AA77" s="50" t="str" cm="1">
        <f t="array" ref="AA77">_xlfn.IFS(AA76&gt;= 70,"A",AA76&gt;=60,"B",AA76&gt;=50,"C",AA76&gt;=45,"D",AA76&gt;=40,"E",AA76&lt;40,"F")</f>
        <v>B</v>
      </c>
      <c r="AB77" s="50" t="str" cm="1">
        <f t="array" ref="AB77">_xlfn.IFS(AB76&gt;= 70,"A",AB76&gt;=60,"B",AB76&gt;=50,"C",AB76&gt;=45,"D",AB76&gt;=40,"E",AB76&lt;40,"F")</f>
        <v>B</v>
      </c>
      <c r="AC77" s="50" t="str" cm="1">
        <f t="array" ref="AC77">_xlfn.IFS(AC76&gt;= 70,"A",AC76&gt;=60,"B",AC76&gt;=50,"C",AC76&gt;=45,"D",AC76&gt;=40,"E",AC76&lt;40,"F")</f>
        <v>B</v>
      </c>
      <c r="AD77" s="50" t="str" cm="1">
        <f t="array" ref="AD77">_xlfn.IFS(AD76&gt;= 70,"A",AD76&gt;=60,"B",AD76&gt;=50,"C",AD76&gt;=45,"D",AD76&gt;=40,"E",AD76&lt;40,"F")</f>
        <v>B</v>
      </c>
      <c r="AE77" s="50" t="str" cm="1">
        <f t="array" ref="AE77">_xlfn.IFS(AE76&gt;= 70,"A",AE76&gt;=60,"B",AE76&gt;=50,"C",AE76&gt;=45,"D",AE76&gt;=40,"E",AE76&lt;40,"F")</f>
        <v>B</v>
      </c>
      <c r="AF77" s="50" t="str" cm="1">
        <f t="array" ref="AF77">_xlfn.IFS(AF76&gt;= 70,"A",AF76&gt;=60,"B",AF76&gt;=50,"C",AF76&gt;=45,"D",AF76&gt;=40,"E",AF76&lt;40,"F")</f>
        <v>B</v>
      </c>
      <c r="AG77" s="7"/>
      <c r="AH77" s="48" t="str" cm="1">
        <f t="array" ref="AH77">_xlfn.IFS(AG77&gt;= 70,"A",AG77&gt;=60,"B",AG77&gt;=50,"C",AG77&gt;=45,"D",AG77&gt;=40,"E",AG77&lt;40,"F")</f>
        <v>F</v>
      </c>
      <c r="AI77" s="7"/>
      <c r="AJ77" s="48" t="str" cm="1">
        <f t="array" ref="AJ77">_xlfn.IFS(AI77&gt;= 70,"A",AI77&gt;=60,"B",AI77&gt;=50,"C",AI77&gt;=45,"D",AI77&gt;=40,"E",AI77&lt;40,"F")</f>
        <v>F</v>
      </c>
      <c r="AK77" s="7"/>
      <c r="AL77" s="48" t="str" cm="1">
        <f t="array" ref="AL77">_xlfn.IFS(AK77&gt;= 70,"A",AK77&gt;=60,"B",AK77&gt;=50,"C",AK77&gt;=45,"D",AK77&gt;=40,"E",AK77&lt;40,"F")</f>
        <v>F</v>
      </c>
      <c r="AM77" s="56">
        <f t="shared" ref="AM77" si="137">SUMIFS($I$4:$W$4,I76:W76,"&gt;0")</f>
        <v>23</v>
      </c>
      <c r="AN77" s="47">
        <f t="shared" ref="AN77" si="138">(SUMIFS($I$4:$W$4,I76:W76,"&gt;0")-SUMIFS($I$4:$W$4,I77:W77,"F"))</f>
        <v>23</v>
      </c>
      <c r="AO77" s="56">
        <f t="shared" ref="AO77" si="139">SUMIFS($I$4:$W$4,I77:W77,"F")</f>
        <v>0</v>
      </c>
      <c r="AP77" s="76"/>
      <c r="AQ77" s="74"/>
      <c r="AR77" s="71"/>
    </row>
    <row r="78" spans="1:44" ht="30" customHeight="1" thickTop="1" x14ac:dyDescent="0.3">
      <c r="A78" s="98">
        <v>37</v>
      </c>
      <c r="B78" s="77"/>
      <c r="C78" s="75"/>
      <c r="D78" s="84"/>
      <c r="E78" s="84"/>
      <c r="F78" s="84"/>
      <c r="G78" s="84"/>
      <c r="H78" s="85"/>
      <c r="I78" s="49">
        <v>45</v>
      </c>
      <c r="J78" s="49">
        <v>46</v>
      </c>
      <c r="K78" s="49">
        <v>47</v>
      </c>
      <c r="L78" s="49">
        <v>48</v>
      </c>
      <c r="M78" s="49">
        <v>49</v>
      </c>
      <c r="N78" s="49">
        <v>50</v>
      </c>
      <c r="O78" s="49">
        <v>51</v>
      </c>
      <c r="P78" s="49">
        <v>52</v>
      </c>
      <c r="Q78" s="49">
        <v>53</v>
      </c>
      <c r="R78" s="49">
        <v>54</v>
      </c>
      <c r="S78" s="49">
        <v>55</v>
      </c>
      <c r="T78" s="49">
        <v>56</v>
      </c>
      <c r="U78" s="49">
        <v>57</v>
      </c>
      <c r="V78" s="49">
        <v>58</v>
      </c>
      <c r="W78" s="49">
        <v>59</v>
      </c>
      <c r="X78" s="49">
        <v>60</v>
      </c>
      <c r="Y78" s="49">
        <v>61</v>
      </c>
      <c r="Z78" s="49">
        <v>62</v>
      </c>
      <c r="AA78" s="49">
        <v>63</v>
      </c>
      <c r="AB78" s="49">
        <v>64</v>
      </c>
      <c r="AC78" s="49">
        <v>65</v>
      </c>
      <c r="AD78" s="49">
        <v>66</v>
      </c>
      <c r="AE78" s="49">
        <v>67</v>
      </c>
      <c r="AF78" s="49">
        <v>68</v>
      </c>
      <c r="AG78" s="7"/>
      <c r="AH78" s="48" t="str" cm="1">
        <f t="array" ref="AH78">_xlfn.IFS(AG78&gt;= 70,"A",AG78&gt;=60,"B",AG78&gt;=50,"C",AG78&gt;=45,"D",AG78&gt;=40,"E",AG78&lt;40,"F")</f>
        <v>F</v>
      </c>
      <c r="AI78" s="7"/>
      <c r="AJ78" s="48" t="str" cm="1">
        <f t="array" ref="AJ78">_xlfn.IFS(AI78&gt;= 70,"A",AI78&gt;=60,"B",AI78&gt;=50,"C",AI78&gt;=45,"D",AI78&gt;=40,"E",AI78&lt;40,"F")</f>
        <v>F</v>
      </c>
      <c r="AK78" s="7"/>
      <c r="AL78" s="48" t="str" cm="1">
        <f t="array" ref="AL78">_xlfn.IFS(AK78&gt;= 70,"A",AK78&gt;=60,"B",AK78&gt;=50,"C",AK78&gt;=45,"D",AK78&gt;=40,"E",AK78&lt;40,"F")</f>
        <v>F</v>
      </c>
      <c r="AM78" s="59"/>
      <c r="AN78" s="46"/>
      <c r="AO78" s="59"/>
      <c r="AP78" s="75" cm="1">
        <f t="array" ref="AP78">SUM(VLOOKUP(I79:W79,GRADEPOINT!$A$2:$B$7,2,0)*$I$4:$W$4)</f>
        <v>61</v>
      </c>
      <c r="AQ78" s="73">
        <f t="shared" ref="AQ78" si="140">ROUND(AP78/AM79,2)</f>
        <v>2.65</v>
      </c>
      <c r="AR78" s="72"/>
    </row>
    <row r="79" spans="1:44" ht="15" thickBot="1" x14ac:dyDescent="0.35">
      <c r="A79" s="99"/>
      <c r="B79" s="83"/>
      <c r="C79" s="92"/>
      <c r="D79" s="93"/>
      <c r="E79" s="93"/>
      <c r="F79" s="93"/>
      <c r="G79" s="93"/>
      <c r="H79" s="94"/>
      <c r="I79" s="50" t="str" cm="1">
        <f t="array" ref="I79">_xlfn.IFS(I78&gt;= 70,"A",I78&gt;=60,"B",I78&gt;=50,"C",I78&gt;=45,"D",I78&gt;=40,"E",I78&lt;40,"F")</f>
        <v>D</v>
      </c>
      <c r="J79" s="50" t="str" cm="1">
        <f t="array" ref="J79">_xlfn.IFS(J78&gt;= 70,"A",J78&gt;=60,"B",J78&gt;=50,"C",J78&gt;=45,"D",J78&gt;=40,"E",J78&lt;40,"F")</f>
        <v>D</v>
      </c>
      <c r="K79" s="50" t="str" cm="1">
        <f t="array" ref="K79">_xlfn.IFS(K78&gt;= 70,"A",K78&gt;=60,"B",K78&gt;=50,"C",K78&gt;=45,"D",K78&gt;=40,"E",K78&lt;40,"F")</f>
        <v>D</v>
      </c>
      <c r="L79" s="50" t="str" cm="1">
        <f t="array" ref="L79">_xlfn.IFS(L78&gt;= 70,"A",L78&gt;=60,"B",L78&gt;=50,"C",L78&gt;=45,"D",L78&gt;=40,"E",L78&lt;40,"F")</f>
        <v>D</v>
      </c>
      <c r="M79" s="50" t="str" cm="1">
        <f t="array" ref="M79">_xlfn.IFS(M78&gt;= 70,"A",M78&gt;=60,"B",M78&gt;=50,"C",M78&gt;=45,"D",M78&gt;=40,"E",M78&lt;40,"F")</f>
        <v>D</v>
      </c>
      <c r="N79" s="50" t="str" cm="1">
        <f t="array" ref="N79">_xlfn.IFS(N78&gt;= 70,"A",N78&gt;=60,"B",N78&gt;=50,"C",N78&gt;=45,"D",N78&gt;=40,"E",N78&lt;40,"F")</f>
        <v>C</v>
      </c>
      <c r="O79" s="50" t="str" cm="1">
        <f t="array" ref="O79">_xlfn.IFS(O78&gt;= 70,"A",O78&gt;=60,"B",O78&gt;=50,"C",O78&gt;=45,"D",O78&gt;=40,"E",O78&lt;40,"F")</f>
        <v>C</v>
      </c>
      <c r="P79" s="50" t="str" cm="1">
        <f t="array" ref="P79">_xlfn.IFS(P78&gt;= 70,"A",P78&gt;=60,"B",P78&gt;=50,"C",P78&gt;=45,"D",P78&gt;=40,"E",P78&lt;40,"F")</f>
        <v>C</v>
      </c>
      <c r="Q79" s="50" t="str" cm="1">
        <f t="array" ref="Q79">_xlfn.IFS(Q78&gt;= 70,"A",Q78&gt;=60,"B",Q78&gt;=50,"C",Q78&gt;=45,"D",Q78&gt;=40,"E",Q78&lt;40,"F")</f>
        <v>C</v>
      </c>
      <c r="R79" s="50" t="str" cm="1">
        <f t="array" ref="R79">_xlfn.IFS(R78&gt;= 70,"A",R78&gt;=60,"B",R78&gt;=50,"C",R78&gt;=45,"D",R78&gt;=40,"E",R78&lt;40,"F")</f>
        <v>C</v>
      </c>
      <c r="S79" s="50" t="str" cm="1">
        <f t="array" ref="S79">_xlfn.IFS(S78&gt;= 70,"A",S78&gt;=60,"B",S78&gt;=50,"C",S78&gt;=45,"D",S78&gt;=40,"E",S78&lt;40,"F")</f>
        <v>C</v>
      </c>
      <c r="T79" s="50" t="str" cm="1">
        <f t="array" ref="T79">_xlfn.IFS(T78&gt;= 70,"A",T78&gt;=60,"B",T78&gt;=50,"C",T78&gt;=45,"D",T78&gt;=40,"E",T78&lt;40,"F")</f>
        <v>C</v>
      </c>
      <c r="U79" s="50" t="str" cm="1">
        <f t="array" ref="U79">_xlfn.IFS(U78&gt;= 70,"A",U78&gt;=60,"B",U78&gt;=50,"C",U78&gt;=45,"D",U78&gt;=40,"E",U78&lt;40,"F")</f>
        <v>C</v>
      </c>
      <c r="V79" s="50" t="str" cm="1">
        <f t="array" ref="V79">_xlfn.IFS(V78&gt;= 70,"A",V78&gt;=60,"B",V78&gt;=50,"C",V78&gt;=45,"D",V78&gt;=40,"E",V78&lt;40,"F")</f>
        <v>C</v>
      </c>
      <c r="W79" s="50" t="str" cm="1">
        <f t="array" ref="W79">_xlfn.IFS(W78&gt;= 70,"A",W78&gt;=60,"B",W78&gt;=50,"C",W78&gt;=45,"D",W78&gt;=40,"E",W78&lt;40,"F")</f>
        <v>C</v>
      </c>
      <c r="X79" s="50" t="str" cm="1">
        <f t="array" ref="X79">_xlfn.IFS(X78&gt;= 70,"A",X78&gt;=60,"B",X78&gt;=50,"C",X78&gt;=45,"D",X78&gt;=40,"E",X78&lt;40,"F")</f>
        <v>B</v>
      </c>
      <c r="Y79" s="50" t="str" cm="1">
        <f t="array" ref="Y79">_xlfn.IFS(Y78&gt;= 70,"A",Y78&gt;=60,"B",Y78&gt;=50,"C",Y78&gt;=45,"D",Y78&gt;=40,"E",Y78&lt;40,"F")</f>
        <v>B</v>
      </c>
      <c r="Z79" s="50" t="str" cm="1">
        <f t="array" ref="Z79">_xlfn.IFS(Z78&gt;= 70,"A",Z78&gt;=60,"B",Z78&gt;=50,"C",Z78&gt;=45,"D",Z78&gt;=40,"E",Z78&lt;40,"F")</f>
        <v>B</v>
      </c>
      <c r="AA79" s="50" t="str" cm="1">
        <f t="array" ref="AA79">_xlfn.IFS(AA78&gt;= 70,"A",AA78&gt;=60,"B",AA78&gt;=50,"C",AA78&gt;=45,"D",AA78&gt;=40,"E",AA78&lt;40,"F")</f>
        <v>B</v>
      </c>
      <c r="AB79" s="50" t="str" cm="1">
        <f t="array" ref="AB79">_xlfn.IFS(AB78&gt;= 70,"A",AB78&gt;=60,"B",AB78&gt;=50,"C",AB78&gt;=45,"D",AB78&gt;=40,"E",AB78&lt;40,"F")</f>
        <v>B</v>
      </c>
      <c r="AC79" s="50" t="str" cm="1">
        <f t="array" ref="AC79">_xlfn.IFS(AC78&gt;= 70,"A",AC78&gt;=60,"B",AC78&gt;=50,"C",AC78&gt;=45,"D",AC78&gt;=40,"E",AC78&lt;40,"F")</f>
        <v>B</v>
      </c>
      <c r="AD79" s="50" t="str" cm="1">
        <f t="array" ref="AD79">_xlfn.IFS(AD78&gt;= 70,"A",AD78&gt;=60,"B",AD78&gt;=50,"C",AD78&gt;=45,"D",AD78&gt;=40,"E",AD78&lt;40,"F")</f>
        <v>B</v>
      </c>
      <c r="AE79" s="50" t="str" cm="1">
        <f t="array" ref="AE79">_xlfn.IFS(AE78&gt;= 70,"A",AE78&gt;=60,"B",AE78&gt;=50,"C",AE78&gt;=45,"D",AE78&gt;=40,"E",AE78&lt;40,"F")</f>
        <v>B</v>
      </c>
      <c r="AF79" s="50" t="str" cm="1">
        <f t="array" ref="AF79">_xlfn.IFS(AF78&gt;= 70,"A",AF78&gt;=60,"B",AF78&gt;=50,"C",AF78&gt;=45,"D",AF78&gt;=40,"E",AF78&lt;40,"F")</f>
        <v>B</v>
      </c>
      <c r="AM79" s="56">
        <f t="shared" ref="AM79" si="141">SUMIFS($I$4:$W$4,I78:W78,"&gt;0")</f>
        <v>23</v>
      </c>
      <c r="AN79" s="47">
        <f t="shared" ref="AN79" si="142">(SUMIFS($I$4:$W$4,I78:W78,"&gt;0")-SUMIFS($I$4:$W$4,I79:W79,"F"))</f>
        <v>23</v>
      </c>
      <c r="AO79" s="56">
        <f t="shared" ref="AO79" si="143">SUMIFS($I$4:$W$4,I79:W79,"F")</f>
        <v>0</v>
      </c>
      <c r="AP79" s="76"/>
      <c r="AQ79" s="74"/>
      <c r="AR79" s="71"/>
    </row>
    <row r="80" spans="1:44" ht="15" thickTop="1" x14ac:dyDescent="0.3">
      <c r="A80" s="98">
        <v>38</v>
      </c>
      <c r="B80" s="77"/>
      <c r="C80" s="90"/>
      <c r="D80" s="91"/>
      <c r="E80" s="91"/>
      <c r="F80" s="91"/>
      <c r="G80" s="91"/>
      <c r="H80" s="91"/>
      <c r="I80" s="49">
        <v>45</v>
      </c>
      <c r="J80" s="49">
        <v>46</v>
      </c>
      <c r="K80" s="49">
        <v>47</v>
      </c>
      <c r="L80" s="49">
        <v>48</v>
      </c>
      <c r="M80" s="49">
        <v>49</v>
      </c>
      <c r="N80" s="49">
        <v>50</v>
      </c>
      <c r="O80" s="49">
        <v>51</v>
      </c>
      <c r="P80" s="49">
        <v>52</v>
      </c>
      <c r="Q80" s="49">
        <v>53</v>
      </c>
      <c r="R80" s="49">
        <v>54</v>
      </c>
      <c r="S80" s="49">
        <v>55</v>
      </c>
      <c r="T80" s="49">
        <v>56</v>
      </c>
      <c r="U80" s="49">
        <v>57</v>
      </c>
      <c r="V80" s="49">
        <v>58</v>
      </c>
      <c r="W80" s="49">
        <v>59</v>
      </c>
      <c r="X80" s="49">
        <v>60</v>
      </c>
      <c r="Y80" s="49">
        <v>61</v>
      </c>
      <c r="Z80" s="49">
        <v>62</v>
      </c>
      <c r="AA80" s="49">
        <v>63</v>
      </c>
      <c r="AB80" s="49">
        <v>64</v>
      </c>
      <c r="AC80" s="49">
        <v>65</v>
      </c>
      <c r="AD80" s="49">
        <v>66</v>
      </c>
      <c r="AE80" s="49">
        <v>67</v>
      </c>
      <c r="AF80" s="49">
        <v>68</v>
      </c>
      <c r="AM80" s="59"/>
      <c r="AN80" s="46"/>
      <c r="AO80" s="59"/>
      <c r="AP80" s="75" cm="1">
        <f t="array" ref="AP80">SUM(VLOOKUP(I81:W81,GRADEPOINT!$A$2:$B$7,2,0)*$I$4:$W$4)</f>
        <v>61</v>
      </c>
      <c r="AQ80" s="73">
        <f t="shared" ref="AQ80" si="144">ROUND(AP80/AM81,2)</f>
        <v>2.65</v>
      </c>
      <c r="AR80" s="72"/>
    </row>
    <row r="81" spans="1:44" ht="15" thickBot="1" x14ac:dyDescent="0.35">
      <c r="A81" s="99"/>
      <c r="B81" s="83"/>
      <c r="C81" s="92"/>
      <c r="D81" s="93"/>
      <c r="E81" s="93"/>
      <c r="F81" s="93"/>
      <c r="G81" s="93"/>
      <c r="H81" s="93"/>
      <c r="I81" s="50" t="str" cm="1">
        <f t="array" ref="I81">_xlfn.IFS(I80&gt;= 70,"A",I80&gt;=60,"B",I80&gt;=50,"C",I80&gt;=45,"D",I80&gt;=40,"E",I80&lt;40,"F")</f>
        <v>D</v>
      </c>
      <c r="J81" s="50" t="str" cm="1">
        <f t="array" ref="J81">_xlfn.IFS(J80&gt;= 70,"A",J80&gt;=60,"B",J80&gt;=50,"C",J80&gt;=45,"D",J80&gt;=40,"E",J80&lt;40,"F")</f>
        <v>D</v>
      </c>
      <c r="K81" s="50" t="str" cm="1">
        <f t="array" ref="K81">_xlfn.IFS(K80&gt;= 70,"A",K80&gt;=60,"B",K80&gt;=50,"C",K80&gt;=45,"D",K80&gt;=40,"E",K80&lt;40,"F")</f>
        <v>D</v>
      </c>
      <c r="L81" s="50" t="str" cm="1">
        <f t="array" ref="L81">_xlfn.IFS(L80&gt;= 70,"A",L80&gt;=60,"B",L80&gt;=50,"C",L80&gt;=45,"D",L80&gt;=40,"E",L80&lt;40,"F")</f>
        <v>D</v>
      </c>
      <c r="M81" s="50" t="str" cm="1">
        <f t="array" ref="M81">_xlfn.IFS(M80&gt;= 70,"A",M80&gt;=60,"B",M80&gt;=50,"C",M80&gt;=45,"D",M80&gt;=40,"E",M80&lt;40,"F")</f>
        <v>D</v>
      </c>
      <c r="N81" s="50" t="str" cm="1">
        <f t="array" ref="N81">_xlfn.IFS(N80&gt;= 70,"A",N80&gt;=60,"B",N80&gt;=50,"C",N80&gt;=45,"D",N80&gt;=40,"E",N80&lt;40,"F")</f>
        <v>C</v>
      </c>
      <c r="O81" s="50" t="str" cm="1">
        <f t="array" ref="O81">_xlfn.IFS(O80&gt;= 70,"A",O80&gt;=60,"B",O80&gt;=50,"C",O80&gt;=45,"D",O80&gt;=40,"E",O80&lt;40,"F")</f>
        <v>C</v>
      </c>
      <c r="P81" s="50" t="str" cm="1">
        <f t="array" ref="P81">_xlfn.IFS(P80&gt;= 70,"A",P80&gt;=60,"B",P80&gt;=50,"C",P80&gt;=45,"D",P80&gt;=40,"E",P80&lt;40,"F")</f>
        <v>C</v>
      </c>
      <c r="Q81" s="50" t="str" cm="1">
        <f t="array" ref="Q81">_xlfn.IFS(Q80&gt;= 70,"A",Q80&gt;=60,"B",Q80&gt;=50,"C",Q80&gt;=45,"D",Q80&gt;=40,"E",Q80&lt;40,"F")</f>
        <v>C</v>
      </c>
      <c r="R81" s="50" t="str" cm="1">
        <f t="array" ref="R81">_xlfn.IFS(R80&gt;= 70,"A",R80&gt;=60,"B",R80&gt;=50,"C",R80&gt;=45,"D",R80&gt;=40,"E",R80&lt;40,"F")</f>
        <v>C</v>
      </c>
      <c r="S81" s="50" t="str" cm="1">
        <f t="array" ref="S81">_xlfn.IFS(S80&gt;= 70,"A",S80&gt;=60,"B",S80&gt;=50,"C",S80&gt;=45,"D",S80&gt;=40,"E",S80&lt;40,"F")</f>
        <v>C</v>
      </c>
      <c r="T81" s="50" t="str" cm="1">
        <f t="array" ref="T81">_xlfn.IFS(T80&gt;= 70,"A",T80&gt;=60,"B",T80&gt;=50,"C",T80&gt;=45,"D",T80&gt;=40,"E",T80&lt;40,"F")</f>
        <v>C</v>
      </c>
      <c r="U81" s="50" t="str" cm="1">
        <f t="array" ref="U81">_xlfn.IFS(U80&gt;= 70,"A",U80&gt;=60,"B",U80&gt;=50,"C",U80&gt;=45,"D",U80&gt;=40,"E",U80&lt;40,"F")</f>
        <v>C</v>
      </c>
      <c r="V81" s="50" t="str" cm="1">
        <f t="array" ref="V81">_xlfn.IFS(V80&gt;= 70,"A",V80&gt;=60,"B",V80&gt;=50,"C",V80&gt;=45,"D",V80&gt;=40,"E",V80&lt;40,"F")</f>
        <v>C</v>
      </c>
      <c r="W81" s="50" t="str" cm="1">
        <f t="array" ref="W81">_xlfn.IFS(W80&gt;= 70,"A",W80&gt;=60,"B",W80&gt;=50,"C",W80&gt;=45,"D",W80&gt;=40,"E",W80&lt;40,"F")</f>
        <v>C</v>
      </c>
      <c r="X81" s="50" t="str" cm="1">
        <f t="array" ref="X81">_xlfn.IFS(X80&gt;= 70,"A",X80&gt;=60,"B",X80&gt;=50,"C",X80&gt;=45,"D",X80&gt;=40,"E",X80&lt;40,"F")</f>
        <v>B</v>
      </c>
      <c r="Y81" s="50" t="str" cm="1">
        <f t="array" ref="Y81">_xlfn.IFS(Y80&gt;= 70,"A",Y80&gt;=60,"B",Y80&gt;=50,"C",Y80&gt;=45,"D",Y80&gt;=40,"E",Y80&lt;40,"F")</f>
        <v>B</v>
      </c>
      <c r="Z81" s="50" t="str" cm="1">
        <f t="array" ref="Z81">_xlfn.IFS(Z80&gt;= 70,"A",Z80&gt;=60,"B",Z80&gt;=50,"C",Z80&gt;=45,"D",Z80&gt;=40,"E",Z80&lt;40,"F")</f>
        <v>B</v>
      </c>
      <c r="AA81" s="50" t="str" cm="1">
        <f t="array" ref="AA81">_xlfn.IFS(AA80&gt;= 70,"A",AA80&gt;=60,"B",AA80&gt;=50,"C",AA80&gt;=45,"D",AA80&gt;=40,"E",AA80&lt;40,"F")</f>
        <v>B</v>
      </c>
      <c r="AB81" s="50" t="str" cm="1">
        <f t="array" ref="AB81">_xlfn.IFS(AB80&gt;= 70,"A",AB80&gt;=60,"B",AB80&gt;=50,"C",AB80&gt;=45,"D",AB80&gt;=40,"E",AB80&lt;40,"F")</f>
        <v>B</v>
      </c>
      <c r="AC81" s="50" t="str" cm="1">
        <f t="array" ref="AC81">_xlfn.IFS(AC80&gt;= 70,"A",AC80&gt;=60,"B",AC80&gt;=50,"C",AC80&gt;=45,"D",AC80&gt;=40,"E",AC80&lt;40,"F")</f>
        <v>B</v>
      </c>
      <c r="AD81" s="50" t="str" cm="1">
        <f t="array" ref="AD81">_xlfn.IFS(AD80&gt;= 70,"A",AD80&gt;=60,"B",AD80&gt;=50,"C",AD80&gt;=45,"D",AD80&gt;=40,"E",AD80&lt;40,"F")</f>
        <v>B</v>
      </c>
      <c r="AE81" s="50" t="str" cm="1">
        <f t="array" ref="AE81">_xlfn.IFS(AE80&gt;= 70,"A",AE80&gt;=60,"B",AE80&gt;=50,"C",AE80&gt;=45,"D",AE80&gt;=40,"E",AE80&lt;40,"F")</f>
        <v>B</v>
      </c>
      <c r="AF81" s="50" t="str" cm="1">
        <f t="array" ref="AF81">_xlfn.IFS(AF80&gt;= 70,"A",AF80&gt;=60,"B",AF80&gt;=50,"C",AF80&gt;=45,"D",AF80&gt;=40,"E",AF80&lt;40,"F")</f>
        <v>B</v>
      </c>
      <c r="AM81" s="56">
        <f t="shared" ref="AM81" si="145">SUMIFS($I$4:$W$4,I80:W80,"&gt;0")</f>
        <v>23</v>
      </c>
      <c r="AN81" s="47">
        <f t="shared" ref="AN81" si="146">(SUMIFS($I$4:$W$4,I80:W80,"&gt;0")-SUMIFS($I$4:$W$4,I81:W81,"F"))</f>
        <v>23</v>
      </c>
      <c r="AO81" s="56">
        <f t="shared" ref="AO81" si="147">SUMIFS($I$4:$W$4,I81:W81,"F")</f>
        <v>0</v>
      </c>
      <c r="AP81" s="76"/>
      <c r="AQ81" s="74"/>
      <c r="AR81" s="71"/>
    </row>
    <row r="82" spans="1:44" ht="15" thickTop="1" x14ac:dyDescent="0.3">
      <c r="A82" s="98">
        <v>39</v>
      </c>
      <c r="B82" s="77"/>
      <c r="C82" s="90"/>
      <c r="D82" s="91"/>
      <c r="E82" s="91"/>
      <c r="F82" s="91"/>
      <c r="G82" s="91"/>
      <c r="H82" s="91"/>
      <c r="I82" s="49">
        <v>45</v>
      </c>
      <c r="J82" s="49">
        <v>46</v>
      </c>
      <c r="K82" s="49">
        <v>47</v>
      </c>
      <c r="L82" s="49">
        <v>48</v>
      </c>
      <c r="M82" s="49">
        <v>49</v>
      </c>
      <c r="N82" s="49">
        <v>50</v>
      </c>
      <c r="O82" s="49">
        <v>51</v>
      </c>
      <c r="P82" s="49">
        <v>52</v>
      </c>
      <c r="Q82" s="49">
        <v>53</v>
      </c>
      <c r="R82" s="49">
        <v>54</v>
      </c>
      <c r="S82" s="49">
        <v>55</v>
      </c>
      <c r="T82" s="49">
        <v>56</v>
      </c>
      <c r="U82" s="49">
        <v>57</v>
      </c>
      <c r="V82" s="49">
        <v>58</v>
      </c>
      <c r="W82" s="49">
        <v>59</v>
      </c>
      <c r="X82" s="49">
        <v>60</v>
      </c>
      <c r="Y82" s="49">
        <v>61</v>
      </c>
      <c r="Z82" s="49">
        <v>62</v>
      </c>
      <c r="AA82" s="49">
        <v>63</v>
      </c>
      <c r="AB82" s="49">
        <v>64</v>
      </c>
      <c r="AC82" s="49">
        <v>65</v>
      </c>
      <c r="AD82" s="49">
        <v>66</v>
      </c>
      <c r="AE82" s="49">
        <v>67</v>
      </c>
      <c r="AF82" s="49">
        <v>68</v>
      </c>
      <c r="AM82" s="59"/>
      <c r="AN82" s="46"/>
      <c r="AO82" s="59"/>
      <c r="AP82" s="75" cm="1">
        <f t="array" ref="AP82">SUM(VLOOKUP(I83:W83,GRADEPOINT!$A$2:$B$7,2,0)*$I$4:$W$4)</f>
        <v>61</v>
      </c>
      <c r="AQ82" s="73">
        <f t="shared" ref="AQ82" si="148">ROUND(AP82/AM83,2)</f>
        <v>2.65</v>
      </c>
      <c r="AR82" s="72"/>
    </row>
    <row r="83" spans="1:44" ht="15" thickBot="1" x14ac:dyDescent="0.35">
      <c r="A83" s="99"/>
      <c r="B83" s="83"/>
      <c r="C83" s="92"/>
      <c r="D83" s="93"/>
      <c r="E83" s="93"/>
      <c r="F83" s="93"/>
      <c r="G83" s="93"/>
      <c r="H83" s="93"/>
      <c r="I83" s="50" t="str" cm="1">
        <f t="array" ref="I83">_xlfn.IFS(I82&gt;= 70,"A",I82&gt;=60,"B",I82&gt;=50,"C",I82&gt;=45,"D",I82&gt;=40,"E",I82&lt;40,"F")</f>
        <v>D</v>
      </c>
      <c r="J83" s="50" t="str" cm="1">
        <f t="array" ref="J83">_xlfn.IFS(J82&gt;= 70,"A",J82&gt;=60,"B",J82&gt;=50,"C",J82&gt;=45,"D",J82&gt;=40,"E",J82&lt;40,"F")</f>
        <v>D</v>
      </c>
      <c r="K83" s="50" t="str" cm="1">
        <f t="array" ref="K83">_xlfn.IFS(K82&gt;= 70,"A",K82&gt;=60,"B",K82&gt;=50,"C",K82&gt;=45,"D",K82&gt;=40,"E",K82&lt;40,"F")</f>
        <v>D</v>
      </c>
      <c r="L83" s="50" t="str" cm="1">
        <f t="array" ref="L83">_xlfn.IFS(L82&gt;= 70,"A",L82&gt;=60,"B",L82&gt;=50,"C",L82&gt;=45,"D",L82&gt;=40,"E",L82&lt;40,"F")</f>
        <v>D</v>
      </c>
      <c r="M83" s="50" t="str" cm="1">
        <f t="array" ref="M83">_xlfn.IFS(M82&gt;= 70,"A",M82&gt;=60,"B",M82&gt;=50,"C",M82&gt;=45,"D",M82&gt;=40,"E",M82&lt;40,"F")</f>
        <v>D</v>
      </c>
      <c r="N83" s="50" t="str" cm="1">
        <f t="array" ref="N83">_xlfn.IFS(N82&gt;= 70,"A",N82&gt;=60,"B",N82&gt;=50,"C",N82&gt;=45,"D",N82&gt;=40,"E",N82&lt;40,"F")</f>
        <v>C</v>
      </c>
      <c r="O83" s="50" t="str" cm="1">
        <f t="array" ref="O83">_xlfn.IFS(O82&gt;= 70,"A",O82&gt;=60,"B",O82&gt;=50,"C",O82&gt;=45,"D",O82&gt;=40,"E",O82&lt;40,"F")</f>
        <v>C</v>
      </c>
      <c r="P83" s="50" t="str" cm="1">
        <f t="array" ref="P83">_xlfn.IFS(P82&gt;= 70,"A",P82&gt;=60,"B",P82&gt;=50,"C",P82&gt;=45,"D",P82&gt;=40,"E",P82&lt;40,"F")</f>
        <v>C</v>
      </c>
      <c r="Q83" s="50" t="str" cm="1">
        <f t="array" ref="Q83">_xlfn.IFS(Q82&gt;= 70,"A",Q82&gt;=60,"B",Q82&gt;=50,"C",Q82&gt;=45,"D",Q82&gt;=40,"E",Q82&lt;40,"F")</f>
        <v>C</v>
      </c>
      <c r="R83" s="50" t="str" cm="1">
        <f t="array" ref="R83">_xlfn.IFS(R82&gt;= 70,"A",R82&gt;=60,"B",R82&gt;=50,"C",R82&gt;=45,"D",R82&gt;=40,"E",R82&lt;40,"F")</f>
        <v>C</v>
      </c>
      <c r="S83" s="50" t="str" cm="1">
        <f t="array" ref="S83">_xlfn.IFS(S82&gt;= 70,"A",S82&gt;=60,"B",S82&gt;=50,"C",S82&gt;=45,"D",S82&gt;=40,"E",S82&lt;40,"F")</f>
        <v>C</v>
      </c>
      <c r="T83" s="50" t="str" cm="1">
        <f t="array" ref="T83">_xlfn.IFS(T82&gt;= 70,"A",T82&gt;=60,"B",T82&gt;=50,"C",T82&gt;=45,"D",T82&gt;=40,"E",T82&lt;40,"F")</f>
        <v>C</v>
      </c>
      <c r="U83" s="50" t="str" cm="1">
        <f t="array" ref="U83">_xlfn.IFS(U82&gt;= 70,"A",U82&gt;=60,"B",U82&gt;=50,"C",U82&gt;=45,"D",U82&gt;=40,"E",U82&lt;40,"F")</f>
        <v>C</v>
      </c>
      <c r="V83" s="50" t="str" cm="1">
        <f t="array" ref="V83">_xlfn.IFS(V82&gt;= 70,"A",V82&gt;=60,"B",V82&gt;=50,"C",V82&gt;=45,"D",V82&gt;=40,"E",V82&lt;40,"F")</f>
        <v>C</v>
      </c>
      <c r="W83" s="50" t="str" cm="1">
        <f t="array" ref="W83">_xlfn.IFS(W82&gt;= 70,"A",W82&gt;=60,"B",W82&gt;=50,"C",W82&gt;=45,"D",W82&gt;=40,"E",W82&lt;40,"F")</f>
        <v>C</v>
      </c>
      <c r="X83" s="50" t="str" cm="1">
        <f t="array" ref="X83">_xlfn.IFS(X82&gt;= 70,"A",X82&gt;=60,"B",X82&gt;=50,"C",X82&gt;=45,"D",X82&gt;=40,"E",X82&lt;40,"F")</f>
        <v>B</v>
      </c>
      <c r="Y83" s="50" t="str" cm="1">
        <f t="array" ref="Y83">_xlfn.IFS(Y82&gt;= 70,"A",Y82&gt;=60,"B",Y82&gt;=50,"C",Y82&gt;=45,"D",Y82&gt;=40,"E",Y82&lt;40,"F")</f>
        <v>B</v>
      </c>
      <c r="Z83" s="50" t="str" cm="1">
        <f t="array" ref="Z83">_xlfn.IFS(Z82&gt;= 70,"A",Z82&gt;=60,"B",Z82&gt;=50,"C",Z82&gt;=45,"D",Z82&gt;=40,"E",Z82&lt;40,"F")</f>
        <v>B</v>
      </c>
      <c r="AA83" s="50" t="str" cm="1">
        <f t="array" ref="AA83">_xlfn.IFS(AA82&gt;= 70,"A",AA82&gt;=60,"B",AA82&gt;=50,"C",AA82&gt;=45,"D",AA82&gt;=40,"E",AA82&lt;40,"F")</f>
        <v>B</v>
      </c>
      <c r="AB83" s="50" t="str" cm="1">
        <f t="array" ref="AB83">_xlfn.IFS(AB82&gt;= 70,"A",AB82&gt;=60,"B",AB82&gt;=50,"C",AB82&gt;=45,"D",AB82&gt;=40,"E",AB82&lt;40,"F")</f>
        <v>B</v>
      </c>
      <c r="AC83" s="50" t="str" cm="1">
        <f t="array" ref="AC83">_xlfn.IFS(AC82&gt;= 70,"A",AC82&gt;=60,"B",AC82&gt;=50,"C",AC82&gt;=45,"D",AC82&gt;=40,"E",AC82&lt;40,"F")</f>
        <v>B</v>
      </c>
      <c r="AD83" s="50" t="str" cm="1">
        <f t="array" ref="AD83">_xlfn.IFS(AD82&gt;= 70,"A",AD82&gt;=60,"B",AD82&gt;=50,"C",AD82&gt;=45,"D",AD82&gt;=40,"E",AD82&lt;40,"F")</f>
        <v>B</v>
      </c>
      <c r="AE83" s="50" t="str" cm="1">
        <f t="array" ref="AE83">_xlfn.IFS(AE82&gt;= 70,"A",AE82&gt;=60,"B",AE82&gt;=50,"C",AE82&gt;=45,"D",AE82&gt;=40,"E",AE82&lt;40,"F")</f>
        <v>B</v>
      </c>
      <c r="AF83" s="50" t="str" cm="1">
        <f t="array" ref="AF83">_xlfn.IFS(AF82&gt;= 70,"A",AF82&gt;=60,"B",AF82&gt;=50,"C",AF82&gt;=45,"D",AF82&gt;=40,"E",AF82&lt;40,"F")</f>
        <v>B</v>
      </c>
      <c r="AM83" s="56">
        <f t="shared" ref="AM83" si="149">SUMIFS($I$4:$W$4,I82:W82,"&gt;0")</f>
        <v>23</v>
      </c>
      <c r="AN83" s="47">
        <f t="shared" ref="AN83" si="150">(SUMIFS($I$4:$W$4,I82:W82,"&gt;0")-SUMIFS($I$4:$W$4,I83:W83,"F"))</f>
        <v>23</v>
      </c>
      <c r="AO83" s="56">
        <f t="shared" ref="AO83" si="151">SUMIFS($I$4:$W$4,I83:W83,"F")</f>
        <v>0</v>
      </c>
      <c r="AP83" s="76"/>
      <c r="AQ83" s="74"/>
      <c r="AR83" s="71"/>
    </row>
    <row r="84" spans="1:44" ht="15" thickTop="1" x14ac:dyDescent="0.3">
      <c r="A84" s="98">
        <v>40</v>
      </c>
      <c r="B84" s="77"/>
      <c r="C84" s="90"/>
      <c r="D84" s="91"/>
      <c r="E84" s="91"/>
      <c r="F84" s="91"/>
      <c r="G84" s="91"/>
      <c r="H84" s="91"/>
      <c r="I84" s="49">
        <v>45</v>
      </c>
      <c r="J84" s="49">
        <v>46</v>
      </c>
      <c r="K84" s="49">
        <v>47</v>
      </c>
      <c r="L84" s="49">
        <v>48</v>
      </c>
      <c r="M84" s="49">
        <v>49</v>
      </c>
      <c r="N84" s="49">
        <v>50</v>
      </c>
      <c r="O84" s="49">
        <v>51</v>
      </c>
      <c r="P84" s="49">
        <v>52</v>
      </c>
      <c r="Q84" s="49">
        <v>53</v>
      </c>
      <c r="R84" s="49">
        <v>54</v>
      </c>
      <c r="S84" s="49">
        <v>55</v>
      </c>
      <c r="T84" s="49">
        <v>56</v>
      </c>
      <c r="U84" s="49">
        <v>57</v>
      </c>
      <c r="V84" s="49">
        <v>58</v>
      </c>
      <c r="W84" s="49">
        <v>59</v>
      </c>
      <c r="X84" s="49">
        <v>60</v>
      </c>
      <c r="Y84" s="49">
        <v>61</v>
      </c>
      <c r="Z84" s="49">
        <v>62</v>
      </c>
      <c r="AA84" s="49">
        <v>63</v>
      </c>
      <c r="AB84" s="49">
        <v>64</v>
      </c>
      <c r="AC84" s="49">
        <v>65</v>
      </c>
      <c r="AD84" s="49">
        <v>66</v>
      </c>
      <c r="AE84" s="49">
        <v>67</v>
      </c>
      <c r="AF84" s="49">
        <v>68</v>
      </c>
      <c r="AM84" s="59"/>
      <c r="AN84" s="46"/>
      <c r="AO84" s="59"/>
      <c r="AP84" s="75" cm="1">
        <f t="array" ref="AP84">SUM(VLOOKUP(I85:W85,GRADEPOINT!$A$2:$B$7,2,0)*$I$4:$W$4)</f>
        <v>61</v>
      </c>
      <c r="AQ84" s="73">
        <f t="shared" ref="AQ84" si="152">ROUND(AP84/AM85,2)</f>
        <v>2.65</v>
      </c>
      <c r="AR84" s="72"/>
    </row>
    <row r="85" spans="1:44" ht="15" thickBot="1" x14ac:dyDescent="0.35">
      <c r="A85" s="99"/>
      <c r="B85" s="83"/>
      <c r="C85" s="92"/>
      <c r="D85" s="93"/>
      <c r="E85" s="93"/>
      <c r="F85" s="93"/>
      <c r="G85" s="93"/>
      <c r="H85" s="93"/>
      <c r="I85" s="50" t="str" cm="1">
        <f t="array" ref="I85">_xlfn.IFS(I84&gt;= 70,"A",I84&gt;=60,"B",I84&gt;=50,"C",I84&gt;=45,"D",I84&gt;=40,"E",I84&lt;40,"F")</f>
        <v>D</v>
      </c>
      <c r="J85" s="50" t="str" cm="1">
        <f t="array" ref="J85">_xlfn.IFS(J84&gt;= 70,"A",J84&gt;=60,"B",J84&gt;=50,"C",J84&gt;=45,"D",J84&gt;=40,"E",J84&lt;40,"F")</f>
        <v>D</v>
      </c>
      <c r="K85" s="50" t="str" cm="1">
        <f t="array" ref="K85">_xlfn.IFS(K84&gt;= 70,"A",K84&gt;=60,"B",K84&gt;=50,"C",K84&gt;=45,"D",K84&gt;=40,"E",K84&lt;40,"F")</f>
        <v>D</v>
      </c>
      <c r="L85" s="50" t="str" cm="1">
        <f t="array" ref="L85">_xlfn.IFS(L84&gt;= 70,"A",L84&gt;=60,"B",L84&gt;=50,"C",L84&gt;=45,"D",L84&gt;=40,"E",L84&lt;40,"F")</f>
        <v>D</v>
      </c>
      <c r="M85" s="50" t="str" cm="1">
        <f t="array" ref="M85">_xlfn.IFS(M84&gt;= 70,"A",M84&gt;=60,"B",M84&gt;=50,"C",M84&gt;=45,"D",M84&gt;=40,"E",M84&lt;40,"F")</f>
        <v>D</v>
      </c>
      <c r="N85" s="50" t="str" cm="1">
        <f t="array" ref="N85">_xlfn.IFS(N84&gt;= 70,"A",N84&gt;=60,"B",N84&gt;=50,"C",N84&gt;=45,"D",N84&gt;=40,"E",N84&lt;40,"F")</f>
        <v>C</v>
      </c>
      <c r="O85" s="50" t="str" cm="1">
        <f t="array" ref="O85">_xlfn.IFS(O84&gt;= 70,"A",O84&gt;=60,"B",O84&gt;=50,"C",O84&gt;=45,"D",O84&gt;=40,"E",O84&lt;40,"F")</f>
        <v>C</v>
      </c>
      <c r="P85" s="50" t="str" cm="1">
        <f t="array" ref="P85">_xlfn.IFS(P84&gt;= 70,"A",P84&gt;=60,"B",P84&gt;=50,"C",P84&gt;=45,"D",P84&gt;=40,"E",P84&lt;40,"F")</f>
        <v>C</v>
      </c>
      <c r="Q85" s="50" t="str" cm="1">
        <f t="array" ref="Q85">_xlfn.IFS(Q84&gt;= 70,"A",Q84&gt;=60,"B",Q84&gt;=50,"C",Q84&gt;=45,"D",Q84&gt;=40,"E",Q84&lt;40,"F")</f>
        <v>C</v>
      </c>
      <c r="R85" s="50" t="str" cm="1">
        <f t="array" ref="R85">_xlfn.IFS(R84&gt;= 70,"A",R84&gt;=60,"B",R84&gt;=50,"C",R84&gt;=45,"D",R84&gt;=40,"E",R84&lt;40,"F")</f>
        <v>C</v>
      </c>
      <c r="S85" s="50" t="str" cm="1">
        <f t="array" ref="S85">_xlfn.IFS(S84&gt;= 70,"A",S84&gt;=60,"B",S84&gt;=50,"C",S84&gt;=45,"D",S84&gt;=40,"E",S84&lt;40,"F")</f>
        <v>C</v>
      </c>
      <c r="T85" s="50" t="str" cm="1">
        <f t="array" ref="T85">_xlfn.IFS(T84&gt;= 70,"A",T84&gt;=60,"B",T84&gt;=50,"C",T84&gt;=45,"D",T84&gt;=40,"E",T84&lt;40,"F")</f>
        <v>C</v>
      </c>
      <c r="U85" s="50" t="str" cm="1">
        <f t="array" ref="U85">_xlfn.IFS(U84&gt;= 70,"A",U84&gt;=60,"B",U84&gt;=50,"C",U84&gt;=45,"D",U84&gt;=40,"E",U84&lt;40,"F")</f>
        <v>C</v>
      </c>
      <c r="V85" s="50" t="str" cm="1">
        <f t="array" ref="V85">_xlfn.IFS(V84&gt;= 70,"A",V84&gt;=60,"B",V84&gt;=50,"C",V84&gt;=45,"D",V84&gt;=40,"E",V84&lt;40,"F")</f>
        <v>C</v>
      </c>
      <c r="W85" s="50" t="str" cm="1">
        <f t="array" ref="W85">_xlfn.IFS(W84&gt;= 70,"A",W84&gt;=60,"B",W84&gt;=50,"C",W84&gt;=45,"D",W84&gt;=40,"E",W84&lt;40,"F")</f>
        <v>C</v>
      </c>
      <c r="X85" s="50" t="str" cm="1">
        <f t="array" ref="X85">_xlfn.IFS(X84&gt;= 70,"A",X84&gt;=60,"B",X84&gt;=50,"C",X84&gt;=45,"D",X84&gt;=40,"E",X84&lt;40,"F")</f>
        <v>B</v>
      </c>
      <c r="Y85" s="50" t="str" cm="1">
        <f t="array" ref="Y85">_xlfn.IFS(Y84&gt;= 70,"A",Y84&gt;=60,"B",Y84&gt;=50,"C",Y84&gt;=45,"D",Y84&gt;=40,"E",Y84&lt;40,"F")</f>
        <v>B</v>
      </c>
      <c r="Z85" s="50" t="str" cm="1">
        <f t="array" ref="Z85">_xlfn.IFS(Z84&gt;= 70,"A",Z84&gt;=60,"B",Z84&gt;=50,"C",Z84&gt;=45,"D",Z84&gt;=40,"E",Z84&lt;40,"F")</f>
        <v>B</v>
      </c>
      <c r="AA85" s="50" t="str" cm="1">
        <f t="array" ref="AA85">_xlfn.IFS(AA84&gt;= 70,"A",AA84&gt;=60,"B",AA84&gt;=50,"C",AA84&gt;=45,"D",AA84&gt;=40,"E",AA84&lt;40,"F")</f>
        <v>B</v>
      </c>
      <c r="AB85" s="50" t="str" cm="1">
        <f t="array" ref="AB85">_xlfn.IFS(AB84&gt;= 70,"A",AB84&gt;=60,"B",AB84&gt;=50,"C",AB84&gt;=45,"D",AB84&gt;=40,"E",AB84&lt;40,"F")</f>
        <v>B</v>
      </c>
      <c r="AC85" s="50" t="str" cm="1">
        <f t="array" ref="AC85">_xlfn.IFS(AC84&gt;= 70,"A",AC84&gt;=60,"B",AC84&gt;=50,"C",AC84&gt;=45,"D",AC84&gt;=40,"E",AC84&lt;40,"F")</f>
        <v>B</v>
      </c>
      <c r="AD85" s="50" t="str" cm="1">
        <f t="array" ref="AD85">_xlfn.IFS(AD84&gt;= 70,"A",AD84&gt;=60,"B",AD84&gt;=50,"C",AD84&gt;=45,"D",AD84&gt;=40,"E",AD84&lt;40,"F")</f>
        <v>B</v>
      </c>
      <c r="AE85" s="50" t="str" cm="1">
        <f t="array" ref="AE85">_xlfn.IFS(AE84&gt;= 70,"A",AE84&gt;=60,"B",AE84&gt;=50,"C",AE84&gt;=45,"D",AE84&gt;=40,"E",AE84&lt;40,"F")</f>
        <v>B</v>
      </c>
      <c r="AF85" s="50" t="str" cm="1">
        <f t="array" ref="AF85">_xlfn.IFS(AF84&gt;= 70,"A",AF84&gt;=60,"B",AF84&gt;=50,"C",AF84&gt;=45,"D",AF84&gt;=40,"E",AF84&lt;40,"F")</f>
        <v>B</v>
      </c>
      <c r="AM85" s="56">
        <f t="shared" ref="AM85" si="153">SUMIFS($I$4:$W$4,I84:W84,"&gt;0")</f>
        <v>23</v>
      </c>
      <c r="AN85" s="47">
        <f t="shared" ref="AN85" si="154">(SUMIFS($I$4:$W$4,I84:W84,"&gt;0")-SUMIFS($I$4:$W$4,I85:W85,"F"))</f>
        <v>23</v>
      </c>
      <c r="AO85" s="56">
        <f t="shared" ref="AO85" si="155">SUMIFS($I$4:$W$4,I85:W85,"F")</f>
        <v>0</v>
      </c>
      <c r="AP85" s="76"/>
      <c r="AQ85" s="74"/>
      <c r="AR85" s="71"/>
    </row>
    <row r="86" spans="1:44" ht="15" thickTop="1" x14ac:dyDescent="0.3">
      <c r="A86" s="98">
        <v>41</v>
      </c>
      <c r="B86" s="77"/>
      <c r="C86" s="90"/>
      <c r="D86" s="91"/>
      <c r="E86" s="91"/>
      <c r="F86" s="91"/>
      <c r="G86" s="91"/>
      <c r="H86" s="91"/>
      <c r="I86" s="49">
        <v>45</v>
      </c>
      <c r="J86" s="49">
        <v>46</v>
      </c>
      <c r="K86" s="49">
        <v>47</v>
      </c>
      <c r="L86" s="49">
        <v>48</v>
      </c>
      <c r="M86" s="49">
        <v>49</v>
      </c>
      <c r="N86" s="49">
        <v>50</v>
      </c>
      <c r="O86" s="49">
        <v>51</v>
      </c>
      <c r="P86" s="49">
        <v>52</v>
      </c>
      <c r="Q86" s="49">
        <v>53</v>
      </c>
      <c r="R86" s="49">
        <v>54</v>
      </c>
      <c r="S86" s="49">
        <v>55</v>
      </c>
      <c r="T86" s="49">
        <v>56</v>
      </c>
      <c r="U86" s="49">
        <v>57</v>
      </c>
      <c r="V86" s="49">
        <v>58</v>
      </c>
      <c r="W86" s="49">
        <v>59</v>
      </c>
      <c r="X86" s="49">
        <v>60</v>
      </c>
      <c r="Y86" s="49">
        <v>61</v>
      </c>
      <c r="Z86" s="49">
        <v>62</v>
      </c>
      <c r="AA86" s="49">
        <v>63</v>
      </c>
      <c r="AB86" s="49">
        <v>64</v>
      </c>
      <c r="AC86" s="49">
        <v>65</v>
      </c>
      <c r="AD86" s="49">
        <v>66</v>
      </c>
      <c r="AE86" s="49">
        <v>67</v>
      </c>
      <c r="AF86" s="49">
        <v>68</v>
      </c>
      <c r="AM86" s="59"/>
      <c r="AN86" s="46"/>
      <c r="AO86" s="59"/>
      <c r="AP86" s="75" cm="1">
        <f t="array" ref="AP86">SUM(VLOOKUP(I87:W87,GRADEPOINT!$A$2:$B$7,2,0)*$I$4:$W$4)</f>
        <v>61</v>
      </c>
      <c r="AQ86" s="73">
        <f t="shared" ref="AQ86" si="156">ROUND(AP86/AM87,2)</f>
        <v>2.65</v>
      </c>
      <c r="AR86" s="72"/>
    </row>
    <row r="87" spans="1:44" ht="15" thickBot="1" x14ac:dyDescent="0.35">
      <c r="A87" s="99"/>
      <c r="B87" s="83"/>
      <c r="C87" s="92"/>
      <c r="D87" s="93"/>
      <c r="E87" s="93"/>
      <c r="F87" s="93"/>
      <c r="G87" s="93"/>
      <c r="H87" s="93"/>
      <c r="I87" s="50" t="str" cm="1">
        <f t="array" ref="I87">_xlfn.IFS(I86&gt;= 70,"A",I86&gt;=60,"B",I86&gt;=50,"C",I86&gt;=45,"D",I86&gt;=40,"E",I86&lt;40,"F")</f>
        <v>D</v>
      </c>
      <c r="J87" s="50" t="str" cm="1">
        <f t="array" ref="J87">_xlfn.IFS(J86&gt;= 70,"A",J86&gt;=60,"B",J86&gt;=50,"C",J86&gt;=45,"D",J86&gt;=40,"E",J86&lt;40,"F")</f>
        <v>D</v>
      </c>
      <c r="K87" s="50" t="str" cm="1">
        <f t="array" ref="K87">_xlfn.IFS(K86&gt;= 70,"A",K86&gt;=60,"B",K86&gt;=50,"C",K86&gt;=45,"D",K86&gt;=40,"E",K86&lt;40,"F")</f>
        <v>D</v>
      </c>
      <c r="L87" s="50" t="str" cm="1">
        <f t="array" ref="L87">_xlfn.IFS(L86&gt;= 70,"A",L86&gt;=60,"B",L86&gt;=50,"C",L86&gt;=45,"D",L86&gt;=40,"E",L86&lt;40,"F")</f>
        <v>D</v>
      </c>
      <c r="M87" s="50" t="str" cm="1">
        <f t="array" ref="M87">_xlfn.IFS(M86&gt;= 70,"A",M86&gt;=60,"B",M86&gt;=50,"C",M86&gt;=45,"D",M86&gt;=40,"E",M86&lt;40,"F")</f>
        <v>D</v>
      </c>
      <c r="N87" s="50" t="str" cm="1">
        <f t="array" ref="N87">_xlfn.IFS(N86&gt;= 70,"A",N86&gt;=60,"B",N86&gt;=50,"C",N86&gt;=45,"D",N86&gt;=40,"E",N86&lt;40,"F")</f>
        <v>C</v>
      </c>
      <c r="O87" s="50" t="str" cm="1">
        <f t="array" ref="O87">_xlfn.IFS(O86&gt;= 70,"A",O86&gt;=60,"B",O86&gt;=50,"C",O86&gt;=45,"D",O86&gt;=40,"E",O86&lt;40,"F")</f>
        <v>C</v>
      </c>
      <c r="P87" s="50" t="str" cm="1">
        <f t="array" ref="P87">_xlfn.IFS(P86&gt;= 70,"A",P86&gt;=60,"B",P86&gt;=50,"C",P86&gt;=45,"D",P86&gt;=40,"E",P86&lt;40,"F")</f>
        <v>C</v>
      </c>
      <c r="Q87" s="50" t="str" cm="1">
        <f t="array" ref="Q87">_xlfn.IFS(Q86&gt;= 70,"A",Q86&gt;=60,"B",Q86&gt;=50,"C",Q86&gt;=45,"D",Q86&gt;=40,"E",Q86&lt;40,"F")</f>
        <v>C</v>
      </c>
      <c r="R87" s="50" t="str" cm="1">
        <f t="array" ref="R87">_xlfn.IFS(R86&gt;= 70,"A",R86&gt;=60,"B",R86&gt;=50,"C",R86&gt;=45,"D",R86&gt;=40,"E",R86&lt;40,"F")</f>
        <v>C</v>
      </c>
      <c r="S87" s="50" t="str" cm="1">
        <f t="array" ref="S87">_xlfn.IFS(S86&gt;= 70,"A",S86&gt;=60,"B",S86&gt;=50,"C",S86&gt;=45,"D",S86&gt;=40,"E",S86&lt;40,"F")</f>
        <v>C</v>
      </c>
      <c r="T87" s="50" t="str" cm="1">
        <f t="array" ref="T87">_xlfn.IFS(T86&gt;= 70,"A",T86&gt;=60,"B",T86&gt;=50,"C",T86&gt;=45,"D",T86&gt;=40,"E",T86&lt;40,"F")</f>
        <v>C</v>
      </c>
      <c r="U87" s="50" t="str" cm="1">
        <f t="array" ref="U87">_xlfn.IFS(U86&gt;= 70,"A",U86&gt;=60,"B",U86&gt;=50,"C",U86&gt;=45,"D",U86&gt;=40,"E",U86&lt;40,"F")</f>
        <v>C</v>
      </c>
      <c r="V87" s="50" t="str" cm="1">
        <f t="array" ref="V87">_xlfn.IFS(V86&gt;= 70,"A",V86&gt;=60,"B",V86&gt;=50,"C",V86&gt;=45,"D",V86&gt;=40,"E",V86&lt;40,"F")</f>
        <v>C</v>
      </c>
      <c r="W87" s="50" t="str" cm="1">
        <f t="array" ref="W87">_xlfn.IFS(W86&gt;= 70,"A",W86&gt;=60,"B",W86&gt;=50,"C",W86&gt;=45,"D",W86&gt;=40,"E",W86&lt;40,"F")</f>
        <v>C</v>
      </c>
      <c r="X87" s="50" t="str" cm="1">
        <f t="array" ref="X87">_xlfn.IFS(X86&gt;= 70,"A",X86&gt;=60,"B",X86&gt;=50,"C",X86&gt;=45,"D",X86&gt;=40,"E",X86&lt;40,"F")</f>
        <v>B</v>
      </c>
      <c r="Y87" s="50" t="str" cm="1">
        <f t="array" ref="Y87">_xlfn.IFS(Y86&gt;= 70,"A",Y86&gt;=60,"B",Y86&gt;=50,"C",Y86&gt;=45,"D",Y86&gt;=40,"E",Y86&lt;40,"F")</f>
        <v>B</v>
      </c>
      <c r="Z87" s="50" t="str" cm="1">
        <f t="array" ref="Z87">_xlfn.IFS(Z86&gt;= 70,"A",Z86&gt;=60,"B",Z86&gt;=50,"C",Z86&gt;=45,"D",Z86&gt;=40,"E",Z86&lt;40,"F")</f>
        <v>B</v>
      </c>
      <c r="AA87" s="50" t="str" cm="1">
        <f t="array" ref="AA87">_xlfn.IFS(AA86&gt;= 70,"A",AA86&gt;=60,"B",AA86&gt;=50,"C",AA86&gt;=45,"D",AA86&gt;=40,"E",AA86&lt;40,"F")</f>
        <v>B</v>
      </c>
      <c r="AB87" s="50" t="str" cm="1">
        <f t="array" ref="AB87">_xlfn.IFS(AB86&gt;= 70,"A",AB86&gt;=60,"B",AB86&gt;=50,"C",AB86&gt;=45,"D",AB86&gt;=40,"E",AB86&lt;40,"F")</f>
        <v>B</v>
      </c>
      <c r="AC87" s="50" t="str" cm="1">
        <f t="array" ref="AC87">_xlfn.IFS(AC86&gt;= 70,"A",AC86&gt;=60,"B",AC86&gt;=50,"C",AC86&gt;=45,"D",AC86&gt;=40,"E",AC86&lt;40,"F")</f>
        <v>B</v>
      </c>
      <c r="AD87" s="50" t="str" cm="1">
        <f t="array" ref="AD87">_xlfn.IFS(AD86&gt;= 70,"A",AD86&gt;=60,"B",AD86&gt;=50,"C",AD86&gt;=45,"D",AD86&gt;=40,"E",AD86&lt;40,"F")</f>
        <v>B</v>
      </c>
      <c r="AE87" s="50" t="str" cm="1">
        <f t="array" ref="AE87">_xlfn.IFS(AE86&gt;= 70,"A",AE86&gt;=60,"B",AE86&gt;=50,"C",AE86&gt;=45,"D",AE86&gt;=40,"E",AE86&lt;40,"F")</f>
        <v>B</v>
      </c>
      <c r="AF87" s="50" t="str" cm="1">
        <f t="array" ref="AF87">_xlfn.IFS(AF86&gt;= 70,"A",AF86&gt;=60,"B",AF86&gt;=50,"C",AF86&gt;=45,"D",AF86&gt;=40,"E",AF86&lt;40,"F")</f>
        <v>B</v>
      </c>
      <c r="AM87" s="56">
        <f t="shared" ref="AM87" si="157">SUMIFS($I$4:$W$4,I86:W86,"&gt;0")</f>
        <v>23</v>
      </c>
      <c r="AN87" s="47">
        <f t="shared" ref="AN87" si="158">(SUMIFS($I$4:$W$4,I86:W86,"&gt;0")-SUMIFS($I$4:$W$4,I87:W87,"F"))</f>
        <v>23</v>
      </c>
      <c r="AO87" s="56">
        <f t="shared" ref="AO87" si="159">SUMIFS($I$4:$W$4,I87:W87,"F")</f>
        <v>0</v>
      </c>
      <c r="AP87" s="76"/>
      <c r="AQ87" s="74"/>
      <c r="AR87" s="71"/>
    </row>
    <row r="88" spans="1:44" ht="15" thickTop="1" x14ac:dyDescent="0.3">
      <c r="A88" s="98">
        <v>42</v>
      </c>
      <c r="B88" s="77"/>
      <c r="C88" s="90"/>
      <c r="D88" s="91"/>
      <c r="E88" s="91"/>
      <c r="F88" s="91"/>
      <c r="G88" s="91"/>
      <c r="H88" s="91"/>
      <c r="I88" s="49">
        <v>45</v>
      </c>
      <c r="J88" s="49">
        <v>46</v>
      </c>
      <c r="K88" s="49">
        <v>47</v>
      </c>
      <c r="L88" s="49">
        <v>48</v>
      </c>
      <c r="M88" s="49">
        <v>49</v>
      </c>
      <c r="N88" s="49">
        <v>50</v>
      </c>
      <c r="O88" s="49">
        <v>51</v>
      </c>
      <c r="P88" s="49">
        <v>52</v>
      </c>
      <c r="Q88" s="49">
        <v>53</v>
      </c>
      <c r="R88" s="49">
        <v>54</v>
      </c>
      <c r="S88" s="49">
        <v>55</v>
      </c>
      <c r="T88" s="49">
        <v>56</v>
      </c>
      <c r="U88" s="49">
        <v>57</v>
      </c>
      <c r="V88" s="49">
        <v>58</v>
      </c>
      <c r="W88" s="49">
        <v>59</v>
      </c>
      <c r="X88" s="49">
        <v>60</v>
      </c>
      <c r="Y88" s="49">
        <v>61</v>
      </c>
      <c r="Z88" s="49">
        <v>62</v>
      </c>
      <c r="AA88" s="49">
        <v>63</v>
      </c>
      <c r="AB88" s="49">
        <v>64</v>
      </c>
      <c r="AC88" s="49">
        <v>65</v>
      </c>
      <c r="AD88" s="49">
        <v>66</v>
      </c>
      <c r="AE88" s="49">
        <v>67</v>
      </c>
      <c r="AF88" s="49">
        <v>68</v>
      </c>
      <c r="AM88" s="59"/>
      <c r="AN88" s="46"/>
      <c r="AO88" s="59"/>
      <c r="AP88" s="75" cm="1">
        <f t="array" ref="AP88">SUM(VLOOKUP(I89:W89,GRADEPOINT!$A$2:$B$7,2,0)*$I$4:$W$4)</f>
        <v>61</v>
      </c>
      <c r="AQ88" s="73">
        <f t="shared" ref="AQ88" si="160">ROUND(AP88/AM89,2)</f>
        <v>2.65</v>
      </c>
      <c r="AR88" s="72"/>
    </row>
    <row r="89" spans="1:44" ht="15" thickBot="1" x14ac:dyDescent="0.35">
      <c r="A89" s="99"/>
      <c r="B89" s="83"/>
      <c r="C89" s="92"/>
      <c r="D89" s="93"/>
      <c r="E89" s="93"/>
      <c r="F89" s="93"/>
      <c r="G89" s="93"/>
      <c r="H89" s="93"/>
      <c r="I89" s="50" t="str" cm="1">
        <f t="array" ref="I89">_xlfn.IFS(I88&gt;= 70,"A",I88&gt;=60,"B",I88&gt;=50,"C",I88&gt;=45,"D",I88&gt;=40,"E",I88&lt;40,"F")</f>
        <v>D</v>
      </c>
      <c r="J89" s="50" t="str" cm="1">
        <f t="array" ref="J89">_xlfn.IFS(J88&gt;= 70,"A",J88&gt;=60,"B",J88&gt;=50,"C",J88&gt;=45,"D",J88&gt;=40,"E",J88&lt;40,"F")</f>
        <v>D</v>
      </c>
      <c r="K89" s="50" t="str" cm="1">
        <f t="array" ref="K89">_xlfn.IFS(K88&gt;= 70,"A",K88&gt;=60,"B",K88&gt;=50,"C",K88&gt;=45,"D",K88&gt;=40,"E",K88&lt;40,"F")</f>
        <v>D</v>
      </c>
      <c r="L89" s="50" t="str" cm="1">
        <f t="array" ref="L89">_xlfn.IFS(L88&gt;= 70,"A",L88&gt;=60,"B",L88&gt;=50,"C",L88&gt;=45,"D",L88&gt;=40,"E",L88&lt;40,"F")</f>
        <v>D</v>
      </c>
      <c r="M89" s="50" t="str" cm="1">
        <f t="array" ref="M89">_xlfn.IFS(M88&gt;= 70,"A",M88&gt;=60,"B",M88&gt;=50,"C",M88&gt;=45,"D",M88&gt;=40,"E",M88&lt;40,"F")</f>
        <v>D</v>
      </c>
      <c r="N89" s="50" t="str" cm="1">
        <f t="array" ref="N89">_xlfn.IFS(N88&gt;= 70,"A",N88&gt;=60,"B",N88&gt;=50,"C",N88&gt;=45,"D",N88&gt;=40,"E",N88&lt;40,"F")</f>
        <v>C</v>
      </c>
      <c r="O89" s="50" t="str" cm="1">
        <f t="array" ref="O89">_xlfn.IFS(O88&gt;= 70,"A",O88&gt;=60,"B",O88&gt;=50,"C",O88&gt;=45,"D",O88&gt;=40,"E",O88&lt;40,"F")</f>
        <v>C</v>
      </c>
      <c r="P89" s="50" t="str" cm="1">
        <f t="array" ref="P89">_xlfn.IFS(P88&gt;= 70,"A",P88&gt;=60,"B",P88&gt;=50,"C",P88&gt;=45,"D",P88&gt;=40,"E",P88&lt;40,"F")</f>
        <v>C</v>
      </c>
      <c r="Q89" s="50" t="str" cm="1">
        <f t="array" ref="Q89">_xlfn.IFS(Q88&gt;= 70,"A",Q88&gt;=60,"B",Q88&gt;=50,"C",Q88&gt;=45,"D",Q88&gt;=40,"E",Q88&lt;40,"F")</f>
        <v>C</v>
      </c>
      <c r="R89" s="50" t="str" cm="1">
        <f t="array" ref="R89">_xlfn.IFS(R88&gt;= 70,"A",R88&gt;=60,"B",R88&gt;=50,"C",R88&gt;=45,"D",R88&gt;=40,"E",R88&lt;40,"F")</f>
        <v>C</v>
      </c>
      <c r="S89" s="50" t="str" cm="1">
        <f t="array" ref="S89">_xlfn.IFS(S88&gt;= 70,"A",S88&gt;=60,"B",S88&gt;=50,"C",S88&gt;=45,"D",S88&gt;=40,"E",S88&lt;40,"F")</f>
        <v>C</v>
      </c>
      <c r="T89" s="50" t="str" cm="1">
        <f t="array" ref="T89">_xlfn.IFS(T88&gt;= 70,"A",T88&gt;=60,"B",T88&gt;=50,"C",T88&gt;=45,"D",T88&gt;=40,"E",T88&lt;40,"F")</f>
        <v>C</v>
      </c>
      <c r="U89" s="50" t="str" cm="1">
        <f t="array" ref="U89">_xlfn.IFS(U88&gt;= 70,"A",U88&gt;=60,"B",U88&gt;=50,"C",U88&gt;=45,"D",U88&gt;=40,"E",U88&lt;40,"F")</f>
        <v>C</v>
      </c>
      <c r="V89" s="50" t="str" cm="1">
        <f t="array" ref="V89">_xlfn.IFS(V88&gt;= 70,"A",V88&gt;=60,"B",V88&gt;=50,"C",V88&gt;=45,"D",V88&gt;=40,"E",V88&lt;40,"F")</f>
        <v>C</v>
      </c>
      <c r="W89" s="50" t="str" cm="1">
        <f t="array" ref="W89">_xlfn.IFS(W88&gt;= 70,"A",W88&gt;=60,"B",W88&gt;=50,"C",W88&gt;=45,"D",W88&gt;=40,"E",W88&lt;40,"F")</f>
        <v>C</v>
      </c>
      <c r="X89" s="50" t="str" cm="1">
        <f t="array" ref="X89">_xlfn.IFS(X88&gt;= 70,"A",X88&gt;=60,"B",X88&gt;=50,"C",X88&gt;=45,"D",X88&gt;=40,"E",X88&lt;40,"F")</f>
        <v>B</v>
      </c>
      <c r="Y89" s="50" t="str" cm="1">
        <f t="array" ref="Y89">_xlfn.IFS(Y88&gt;= 70,"A",Y88&gt;=60,"B",Y88&gt;=50,"C",Y88&gt;=45,"D",Y88&gt;=40,"E",Y88&lt;40,"F")</f>
        <v>B</v>
      </c>
      <c r="Z89" s="50" t="str" cm="1">
        <f t="array" ref="Z89">_xlfn.IFS(Z88&gt;= 70,"A",Z88&gt;=60,"B",Z88&gt;=50,"C",Z88&gt;=45,"D",Z88&gt;=40,"E",Z88&lt;40,"F")</f>
        <v>B</v>
      </c>
      <c r="AA89" s="50" t="str" cm="1">
        <f t="array" ref="AA89">_xlfn.IFS(AA88&gt;= 70,"A",AA88&gt;=60,"B",AA88&gt;=50,"C",AA88&gt;=45,"D",AA88&gt;=40,"E",AA88&lt;40,"F")</f>
        <v>B</v>
      </c>
      <c r="AB89" s="50" t="str" cm="1">
        <f t="array" ref="AB89">_xlfn.IFS(AB88&gt;= 70,"A",AB88&gt;=60,"B",AB88&gt;=50,"C",AB88&gt;=45,"D",AB88&gt;=40,"E",AB88&lt;40,"F")</f>
        <v>B</v>
      </c>
      <c r="AC89" s="50" t="str" cm="1">
        <f t="array" ref="AC89">_xlfn.IFS(AC88&gt;= 70,"A",AC88&gt;=60,"B",AC88&gt;=50,"C",AC88&gt;=45,"D",AC88&gt;=40,"E",AC88&lt;40,"F")</f>
        <v>B</v>
      </c>
      <c r="AD89" s="50" t="str" cm="1">
        <f t="array" ref="AD89">_xlfn.IFS(AD88&gt;= 70,"A",AD88&gt;=60,"B",AD88&gt;=50,"C",AD88&gt;=45,"D",AD88&gt;=40,"E",AD88&lt;40,"F")</f>
        <v>B</v>
      </c>
      <c r="AE89" s="50" t="str" cm="1">
        <f t="array" ref="AE89">_xlfn.IFS(AE88&gt;= 70,"A",AE88&gt;=60,"B",AE88&gt;=50,"C",AE88&gt;=45,"D",AE88&gt;=40,"E",AE88&lt;40,"F")</f>
        <v>B</v>
      </c>
      <c r="AF89" s="50" t="str" cm="1">
        <f t="array" ref="AF89">_xlfn.IFS(AF88&gt;= 70,"A",AF88&gt;=60,"B",AF88&gt;=50,"C",AF88&gt;=45,"D",AF88&gt;=40,"E",AF88&lt;40,"F")</f>
        <v>B</v>
      </c>
      <c r="AM89" s="56">
        <f t="shared" ref="AM89" si="161">SUMIFS($I$4:$W$4,I88:W88,"&gt;0")</f>
        <v>23</v>
      </c>
      <c r="AN89" s="47">
        <f t="shared" ref="AN89" si="162">(SUMIFS($I$4:$W$4,I88:W88,"&gt;0")-SUMIFS($I$4:$W$4,I89:W89,"F"))</f>
        <v>23</v>
      </c>
      <c r="AO89" s="56">
        <f t="shared" ref="AO89" si="163">SUMIFS($I$4:$W$4,I89:W89,"F")</f>
        <v>0</v>
      </c>
      <c r="AP89" s="76"/>
      <c r="AQ89" s="74"/>
      <c r="AR89" s="71"/>
    </row>
    <row r="90" spans="1:44" ht="15" thickTop="1" x14ac:dyDescent="0.3">
      <c r="A90" s="98">
        <v>43</v>
      </c>
      <c r="B90" s="77"/>
      <c r="C90" s="90"/>
      <c r="D90" s="91"/>
      <c r="E90" s="91"/>
      <c r="F90" s="91"/>
      <c r="G90" s="91"/>
      <c r="H90" s="91"/>
      <c r="I90" s="49">
        <v>45</v>
      </c>
      <c r="J90" s="49">
        <v>46</v>
      </c>
      <c r="K90" s="49">
        <v>47</v>
      </c>
      <c r="L90" s="49">
        <v>48</v>
      </c>
      <c r="M90" s="49">
        <v>49</v>
      </c>
      <c r="N90" s="49">
        <v>50</v>
      </c>
      <c r="O90" s="49">
        <v>51</v>
      </c>
      <c r="P90" s="49">
        <v>52</v>
      </c>
      <c r="Q90" s="49">
        <v>53</v>
      </c>
      <c r="R90" s="49">
        <v>54</v>
      </c>
      <c r="S90" s="49">
        <v>55</v>
      </c>
      <c r="T90" s="49">
        <v>56</v>
      </c>
      <c r="U90" s="49">
        <v>57</v>
      </c>
      <c r="V90" s="49">
        <v>58</v>
      </c>
      <c r="W90" s="49">
        <v>59</v>
      </c>
      <c r="X90" s="49">
        <v>60</v>
      </c>
      <c r="Y90" s="49">
        <v>61</v>
      </c>
      <c r="Z90" s="49">
        <v>62</v>
      </c>
      <c r="AA90" s="49">
        <v>63</v>
      </c>
      <c r="AB90" s="49">
        <v>64</v>
      </c>
      <c r="AC90" s="49">
        <v>65</v>
      </c>
      <c r="AD90" s="49">
        <v>66</v>
      </c>
      <c r="AE90" s="49">
        <v>67</v>
      </c>
      <c r="AF90" s="49">
        <v>68</v>
      </c>
      <c r="AM90" s="59"/>
      <c r="AN90" s="46"/>
      <c r="AO90" s="59"/>
      <c r="AP90" s="75" cm="1">
        <f t="array" ref="AP90">SUM(VLOOKUP(I91:W91,GRADEPOINT!$A$2:$B$7,2,0)*$I$4:$W$4)</f>
        <v>61</v>
      </c>
      <c r="AQ90" s="73">
        <f t="shared" ref="AQ90" si="164">ROUND(AP90/AM91,2)</f>
        <v>2.65</v>
      </c>
      <c r="AR90" s="72"/>
    </row>
    <row r="91" spans="1:44" ht="15" thickBot="1" x14ac:dyDescent="0.35">
      <c r="A91" s="99"/>
      <c r="B91" s="83"/>
      <c r="C91" s="92"/>
      <c r="D91" s="93"/>
      <c r="E91" s="93"/>
      <c r="F91" s="93"/>
      <c r="G91" s="93"/>
      <c r="H91" s="93"/>
      <c r="I91" s="50" t="str" cm="1">
        <f t="array" ref="I91">_xlfn.IFS(I90&gt;= 70,"A",I90&gt;=60,"B",I90&gt;=50,"C",I90&gt;=45,"D",I90&gt;=40,"E",I90&lt;40,"F")</f>
        <v>D</v>
      </c>
      <c r="J91" s="50" t="str" cm="1">
        <f t="array" ref="J91">_xlfn.IFS(J90&gt;= 70,"A",J90&gt;=60,"B",J90&gt;=50,"C",J90&gt;=45,"D",J90&gt;=40,"E",J90&lt;40,"F")</f>
        <v>D</v>
      </c>
      <c r="K91" s="50" t="str" cm="1">
        <f t="array" ref="K91">_xlfn.IFS(K90&gt;= 70,"A",K90&gt;=60,"B",K90&gt;=50,"C",K90&gt;=45,"D",K90&gt;=40,"E",K90&lt;40,"F")</f>
        <v>D</v>
      </c>
      <c r="L91" s="50" t="str" cm="1">
        <f t="array" ref="L91">_xlfn.IFS(L90&gt;= 70,"A",L90&gt;=60,"B",L90&gt;=50,"C",L90&gt;=45,"D",L90&gt;=40,"E",L90&lt;40,"F")</f>
        <v>D</v>
      </c>
      <c r="M91" s="50" t="str" cm="1">
        <f t="array" ref="M91">_xlfn.IFS(M90&gt;= 70,"A",M90&gt;=60,"B",M90&gt;=50,"C",M90&gt;=45,"D",M90&gt;=40,"E",M90&lt;40,"F")</f>
        <v>D</v>
      </c>
      <c r="N91" s="50" t="str" cm="1">
        <f t="array" ref="N91">_xlfn.IFS(N90&gt;= 70,"A",N90&gt;=60,"B",N90&gt;=50,"C",N90&gt;=45,"D",N90&gt;=40,"E",N90&lt;40,"F")</f>
        <v>C</v>
      </c>
      <c r="O91" s="50" t="str" cm="1">
        <f t="array" ref="O91">_xlfn.IFS(O90&gt;= 70,"A",O90&gt;=60,"B",O90&gt;=50,"C",O90&gt;=45,"D",O90&gt;=40,"E",O90&lt;40,"F")</f>
        <v>C</v>
      </c>
      <c r="P91" s="50" t="str" cm="1">
        <f t="array" ref="P91">_xlfn.IFS(P90&gt;= 70,"A",P90&gt;=60,"B",P90&gt;=50,"C",P90&gt;=45,"D",P90&gt;=40,"E",P90&lt;40,"F")</f>
        <v>C</v>
      </c>
      <c r="Q91" s="50" t="str" cm="1">
        <f t="array" ref="Q91">_xlfn.IFS(Q90&gt;= 70,"A",Q90&gt;=60,"B",Q90&gt;=50,"C",Q90&gt;=45,"D",Q90&gt;=40,"E",Q90&lt;40,"F")</f>
        <v>C</v>
      </c>
      <c r="R91" s="50" t="str" cm="1">
        <f t="array" ref="R91">_xlfn.IFS(R90&gt;= 70,"A",R90&gt;=60,"B",R90&gt;=50,"C",R90&gt;=45,"D",R90&gt;=40,"E",R90&lt;40,"F")</f>
        <v>C</v>
      </c>
      <c r="S91" s="50" t="str" cm="1">
        <f t="array" ref="S91">_xlfn.IFS(S90&gt;= 70,"A",S90&gt;=60,"B",S90&gt;=50,"C",S90&gt;=45,"D",S90&gt;=40,"E",S90&lt;40,"F")</f>
        <v>C</v>
      </c>
      <c r="T91" s="50" t="str" cm="1">
        <f t="array" ref="T91">_xlfn.IFS(T90&gt;= 70,"A",T90&gt;=60,"B",T90&gt;=50,"C",T90&gt;=45,"D",T90&gt;=40,"E",T90&lt;40,"F")</f>
        <v>C</v>
      </c>
      <c r="U91" s="50" t="str" cm="1">
        <f t="array" ref="U91">_xlfn.IFS(U90&gt;= 70,"A",U90&gt;=60,"B",U90&gt;=50,"C",U90&gt;=45,"D",U90&gt;=40,"E",U90&lt;40,"F")</f>
        <v>C</v>
      </c>
      <c r="V91" s="50" t="str" cm="1">
        <f t="array" ref="V91">_xlfn.IFS(V90&gt;= 70,"A",V90&gt;=60,"B",V90&gt;=50,"C",V90&gt;=45,"D",V90&gt;=40,"E",V90&lt;40,"F")</f>
        <v>C</v>
      </c>
      <c r="W91" s="50" t="str" cm="1">
        <f t="array" ref="W91">_xlfn.IFS(W90&gt;= 70,"A",W90&gt;=60,"B",W90&gt;=50,"C",W90&gt;=45,"D",W90&gt;=40,"E",W90&lt;40,"F")</f>
        <v>C</v>
      </c>
      <c r="X91" s="50" t="str" cm="1">
        <f t="array" ref="X91">_xlfn.IFS(X90&gt;= 70,"A",X90&gt;=60,"B",X90&gt;=50,"C",X90&gt;=45,"D",X90&gt;=40,"E",X90&lt;40,"F")</f>
        <v>B</v>
      </c>
      <c r="Y91" s="50" t="str" cm="1">
        <f t="array" ref="Y91">_xlfn.IFS(Y90&gt;= 70,"A",Y90&gt;=60,"B",Y90&gt;=50,"C",Y90&gt;=45,"D",Y90&gt;=40,"E",Y90&lt;40,"F")</f>
        <v>B</v>
      </c>
      <c r="Z91" s="50" t="str" cm="1">
        <f t="array" ref="Z91">_xlfn.IFS(Z90&gt;= 70,"A",Z90&gt;=60,"B",Z90&gt;=50,"C",Z90&gt;=45,"D",Z90&gt;=40,"E",Z90&lt;40,"F")</f>
        <v>B</v>
      </c>
      <c r="AA91" s="50" t="str" cm="1">
        <f t="array" ref="AA91">_xlfn.IFS(AA90&gt;= 70,"A",AA90&gt;=60,"B",AA90&gt;=50,"C",AA90&gt;=45,"D",AA90&gt;=40,"E",AA90&lt;40,"F")</f>
        <v>B</v>
      </c>
      <c r="AB91" s="50" t="str" cm="1">
        <f t="array" ref="AB91">_xlfn.IFS(AB90&gt;= 70,"A",AB90&gt;=60,"B",AB90&gt;=50,"C",AB90&gt;=45,"D",AB90&gt;=40,"E",AB90&lt;40,"F")</f>
        <v>B</v>
      </c>
      <c r="AC91" s="50" t="str" cm="1">
        <f t="array" ref="AC91">_xlfn.IFS(AC90&gt;= 70,"A",AC90&gt;=60,"B",AC90&gt;=50,"C",AC90&gt;=45,"D",AC90&gt;=40,"E",AC90&lt;40,"F")</f>
        <v>B</v>
      </c>
      <c r="AD91" s="50" t="str" cm="1">
        <f t="array" ref="AD91">_xlfn.IFS(AD90&gt;= 70,"A",AD90&gt;=60,"B",AD90&gt;=50,"C",AD90&gt;=45,"D",AD90&gt;=40,"E",AD90&lt;40,"F")</f>
        <v>B</v>
      </c>
      <c r="AE91" s="50" t="str" cm="1">
        <f t="array" ref="AE91">_xlfn.IFS(AE90&gt;= 70,"A",AE90&gt;=60,"B",AE90&gt;=50,"C",AE90&gt;=45,"D",AE90&gt;=40,"E",AE90&lt;40,"F")</f>
        <v>B</v>
      </c>
      <c r="AF91" s="50" t="str" cm="1">
        <f t="array" ref="AF91">_xlfn.IFS(AF90&gt;= 70,"A",AF90&gt;=60,"B",AF90&gt;=50,"C",AF90&gt;=45,"D",AF90&gt;=40,"E",AF90&lt;40,"F")</f>
        <v>B</v>
      </c>
      <c r="AM91" s="56">
        <f t="shared" ref="AM91" si="165">SUMIFS($I$4:$W$4,I90:W90,"&gt;0")</f>
        <v>23</v>
      </c>
      <c r="AN91" s="47">
        <f t="shared" ref="AN91" si="166">(SUMIFS($I$4:$W$4,I90:W90,"&gt;0")-SUMIFS($I$4:$W$4,I91:W91,"F"))</f>
        <v>23</v>
      </c>
      <c r="AO91" s="56">
        <f t="shared" ref="AO91" si="167">SUMIFS($I$4:$W$4,I91:W91,"F")</f>
        <v>0</v>
      </c>
      <c r="AP91" s="76"/>
      <c r="AQ91" s="74"/>
      <c r="AR91" s="71"/>
    </row>
    <row r="92" spans="1:44" ht="15" thickTop="1" x14ac:dyDescent="0.3">
      <c r="A92" s="98">
        <v>44</v>
      </c>
      <c r="B92" s="77"/>
      <c r="C92" s="90"/>
      <c r="D92" s="91"/>
      <c r="E92" s="91"/>
      <c r="F92" s="91"/>
      <c r="G92" s="91"/>
      <c r="H92" s="91"/>
      <c r="I92" s="49">
        <v>45</v>
      </c>
      <c r="J92" s="49">
        <v>46</v>
      </c>
      <c r="K92" s="49">
        <v>47</v>
      </c>
      <c r="L92" s="49">
        <v>48</v>
      </c>
      <c r="M92" s="49">
        <v>49</v>
      </c>
      <c r="N92" s="49">
        <v>50</v>
      </c>
      <c r="O92" s="49">
        <v>51</v>
      </c>
      <c r="P92" s="49">
        <v>52</v>
      </c>
      <c r="Q92" s="49">
        <v>53</v>
      </c>
      <c r="R92" s="49">
        <v>54</v>
      </c>
      <c r="S92" s="49">
        <v>55</v>
      </c>
      <c r="T92" s="49">
        <v>56</v>
      </c>
      <c r="U92" s="49">
        <v>57</v>
      </c>
      <c r="V92" s="49">
        <v>58</v>
      </c>
      <c r="W92" s="49">
        <v>59</v>
      </c>
      <c r="X92" s="49">
        <v>60</v>
      </c>
      <c r="Y92" s="49">
        <v>61</v>
      </c>
      <c r="Z92" s="49">
        <v>62</v>
      </c>
      <c r="AA92" s="49">
        <v>63</v>
      </c>
      <c r="AB92" s="49">
        <v>64</v>
      </c>
      <c r="AC92" s="49">
        <v>65</v>
      </c>
      <c r="AD92" s="49">
        <v>66</v>
      </c>
      <c r="AE92" s="49">
        <v>67</v>
      </c>
      <c r="AF92" s="49">
        <v>68</v>
      </c>
      <c r="AM92" s="59"/>
      <c r="AN92" s="46"/>
      <c r="AO92" s="59"/>
      <c r="AP92" s="75" cm="1">
        <f t="array" ref="AP92">SUM(VLOOKUP(I93:W93,GRADEPOINT!$A$2:$B$7,2,0)*$I$4:$W$4)</f>
        <v>61</v>
      </c>
      <c r="AQ92" s="73">
        <f t="shared" ref="AQ92" si="168">ROUND(AP92/AM93,2)</f>
        <v>2.65</v>
      </c>
      <c r="AR92" s="72"/>
    </row>
    <row r="93" spans="1:44" ht="15" thickBot="1" x14ac:dyDescent="0.35">
      <c r="A93" s="99"/>
      <c r="B93" s="83"/>
      <c r="C93" s="92"/>
      <c r="D93" s="93"/>
      <c r="E93" s="93"/>
      <c r="F93" s="93"/>
      <c r="G93" s="93"/>
      <c r="H93" s="93"/>
      <c r="I93" s="50" t="str" cm="1">
        <f t="array" ref="I93">_xlfn.IFS(I92&gt;= 70,"A",I92&gt;=60,"B",I92&gt;=50,"C",I92&gt;=45,"D",I92&gt;=40,"E",I92&lt;40,"F")</f>
        <v>D</v>
      </c>
      <c r="J93" s="50" t="str" cm="1">
        <f t="array" ref="J93">_xlfn.IFS(J92&gt;= 70,"A",J92&gt;=60,"B",J92&gt;=50,"C",J92&gt;=45,"D",J92&gt;=40,"E",J92&lt;40,"F")</f>
        <v>D</v>
      </c>
      <c r="K93" s="50" t="str" cm="1">
        <f t="array" ref="K93">_xlfn.IFS(K92&gt;= 70,"A",K92&gt;=60,"B",K92&gt;=50,"C",K92&gt;=45,"D",K92&gt;=40,"E",K92&lt;40,"F")</f>
        <v>D</v>
      </c>
      <c r="L93" s="50" t="str" cm="1">
        <f t="array" ref="L93">_xlfn.IFS(L92&gt;= 70,"A",L92&gt;=60,"B",L92&gt;=50,"C",L92&gt;=45,"D",L92&gt;=40,"E",L92&lt;40,"F")</f>
        <v>D</v>
      </c>
      <c r="M93" s="50" t="str" cm="1">
        <f t="array" ref="M93">_xlfn.IFS(M92&gt;= 70,"A",M92&gt;=60,"B",M92&gt;=50,"C",M92&gt;=45,"D",M92&gt;=40,"E",M92&lt;40,"F")</f>
        <v>D</v>
      </c>
      <c r="N93" s="50" t="str" cm="1">
        <f t="array" ref="N93">_xlfn.IFS(N92&gt;= 70,"A",N92&gt;=60,"B",N92&gt;=50,"C",N92&gt;=45,"D",N92&gt;=40,"E",N92&lt;40,"F")</f>
        <v>C</v>
      </c>
      <c r="O93" s="50" t="str" cm="1">
        <f t="array" ref="O93">_xlfn.IFS(O92&gt;= 70,"A",O92&gt;=60,"B",O92&gt;=50,"C",O92&gt;=45,"D",O92&gt;=40,"E",O92&lt;40,"F")</f>
        <v>C</v>
      </c>
      <c r="P93" s="50" t="str" cm="1">
        <f t="array" ref="P93">_xlfn.IFS(P92&gt;= 70,"A",P92&gt;=60,"B",P92&gt;=50,"C",P92&gt;=45,"D",P92&gt;=40,"E",P92&lt;40,"F")</f>
        <v>C</v>
      </c>
      <c r="Q93" s="50" t="str" cm="1">
        <f t="array" ref="Q93">_xlfn.IFS(Q92&gt;= 70,"A",Q92&gt;=60,"B",Q92&gt;=50,"C",Q92&gt;=45,"D",Q92&gt;=40,"E",Q92&lt;40,"F")</f>
        <v>C</v>
      </c>
      <c r="R93" s="50" t="str" cm="1">
        <f t="array" ref="R93">_xlfn.IFS(R92&gt;= 70,"A",R92&gt;=60,"B",R92&gt;=50,"C",R92&gt;=45,"D",R92&gt;=40,"E",R92&lt;40,"F")</f>
        <v>C</v>
      </c>
      <c r="S93" s="50" t="str" cm="1">
        <f t="array" ref="S93">_xlfn.IFS(S92&gt;= 70,"A",S92&gt;=60,"B",S92&gt;=50,"C",S92&gt;=45,"D",S92&gt;=40,"E",S92&lt;40,"F")</f>
        <v>C</v>
      </c>
      <c r="T93" s="50" t="str" cm="1">
        <f t="array" ref="T93">_xlfn.IFS(T92&gt;= 70,"A",T92&gt;=60,"B",T92&gt;=50,"C",T92&gt;=45,"D",T92&gt;=40,"E",T92&lt;40,"F")</f>
        <v>C</v>
      </c>
      <c r="U93" s="50" t="str" cm="1">
        <f t="array" ref="U93">_xlfn.IFS(U92&gt;= 70,"A",U92&gt;=60,"B",U92&gt;=50,"C",U92&gt;=45,"D",U92&gt;=40,"E",U92&lt;40,"F")</f>
        <v>C</v>
      </c>
      <c r="V93" s="50" t="str" cm="1">
        <f t="array" ref="V93">_xlfn.IFS(V92&gt;= 70,"A",V92&gt;=60,"B",V92&gt;=50,"C",V92&gt;=45,"D",V92&gt;=40,"E",V92&lt;40,"F")</f>
        <v>C</v>
      </c>
      <c r="W93" s="50" t="str" cm="1">
        <f t="array" ref="W93">_xlfn.IFS(W92&gt;= 70,"A",W92&gt;=60,"B",W92&gt;=50,"C",W92&gt;=45,"D",W92&gt;=40,"E",W92&lt;40,"F")</f>
        <v>C</v>
      </c>
      <c r="X93" s="50" t="str" cm="1">
        <f t="array" ref="X93">_xlfn.IFS(X92&gt;= 70,"A",X92&gt;=60,"B",X92&gt;=50,"C",X92&gt;=45,"D",X92&gt;=40,"E",X92&lt;40,"F")</f>
        <v>B</v>
      </c>
      <c r="Y93" s="50" t="str" cm="1">
        <f t="array" ref="Y93">_xlfn.IFS(Y92&gt;= 70,"A",Y92&gt;=60,"B",Y92&gt;=50,"C",Y92&gt;=45,"D",Y92&gt;=40,"E",Y92&lt;40,"F")</f>
        <v>B</v>
      </c>
      <c r="Z93" s="50" t="str" cm="1">
        <f t="array" ref="Z93">_xlfn.IFS(Z92&gt;= 70,"A",Z92&gt;=60,"B",Z92&gt;=50,"C",Z92&gt;=45,"D",Z92&gt;=40,"E",Z92&lt;40,"F")</f>
        <v>B</v>
      </c>
      <c r="AA93" s="50" t="str" cm="1">
        <f t="array" ref="AA93">_xlfn.IFS(AA92&gt;= 70,"A",AA92&gt;=60,"B",AA92&gt;=50,"C",AA92&gt;=45,"D",AA92&gt;=40,"E",AA92&lt;40,"F")</f>
        <v>B</v>
      </c>
      <c r="AB93" s="50" t="str" cm="1">
        <f t="array" ref="AB93">_xlfn.IFS(AB92&gt;= 70,"A",AB92&gt;=60,"B",AB92&gt;=50,"C",AB92&gt;=45,"D",AB92&gt;=40,"E",AB92&lt;40,"F")</f>
        <v>B</v>
      </c>
      <c r="AC93" s="50" t="str" cm="1">
        <f t="array" ref="AC93">_xlfn.IFS(AC92&gt;= 70,"A",AC92&gt;=60,"B",AC92&gt;=50,"C",AC92&gt;=45,"D",AC92&gt;=40,"E",AC92&lt;40,"F")</f>
        <v>B</v>
      </c>
      <c r="AD93" s="50" t="str" cm="1">
        <f t="array" ref="AD93">_xlfn.IFS(AD92&gt;= 70,"A",AD92&gt;=60,"B",AD92&gt;=50,"C",AD92&gt;=45,"D",AD92&gt;=40,"E",AD92&lt;40,"F")</f>
        <v>B</v>
      </c>
      <c r="AE93" s="50" t="str" cm="1">
        <f t="array" ref="AE93">_xlfn.IFS(AE92&gt;= 70,"A",AE92&gt;=60,"B",AE92&gt;=50,"C",AE92&gt;=45,"D",AE92&gt;=40,"E",AE92&lt;40,"F")</f>
        <v>B</v>
      </c>
      <c r="AF93" s="50" t="str" cm="1">
        <f t="array" ref="AF93">_xlfn.IFS(AF92&gt;= 70,"A",AF92&gt;=60,"B",AF92&gt;=50,"C",AF92&gt;=45,"D",AF92&gt;=40,"E",AF92&lt;40,"F")</f>
        <v>B</v>
      </c>
      <c r="AM93" s="56">
        <f t="shared" ref="AM93" si="169">SUMIFS($I$4:$W$4,I92:W92,"&gt;0")</f>
        <v>23</v>
      </c>
      <c r="AN93" s="47">
        <f t="shared" ref="AN93" si="170">(SUMIFS($I$4:$W$4,I92:W92,"&gt;0")-SUMIFS($I$4:$W$4,I93:W93,"F"))</f>
        <v>23</v>
      </c>
      <c r="AO93" s="56">
        <f t="shared" ref="AO93" si="171">SUMIFS($I$4:$W$4,I93:W93,"F")</f>
        <v>0</v>
      </c>
      <c r="AP93" s="76"/>
      <c r="AQ93" s="74"/>
      <c r="AR93" s="71"/>
    </row>
    <row r="94" spans="1:44" ht="15" thickTop="1" x14ac:dyDescent="0.3">
      <c r="A94" s="98">
        <v>45</v>
      </c>
      <c r="B94" s="77"/>
      <c r="C94" s="90"/>
      <c r="D94" s="91"/>
      <c r="E94" s="91"/>
      <c r="F94" s="91"/>
      <c r="G94" s="91"/>
      <c r="H94" s="91"/>
      <c r="I94" s="49">
        <v>45</v>
      </c>
      <c r="J94" s="49">
        <v>46</v>
      </c>
      <c r="K94" s="49">
        <v>47</v>
      </c>
      <c r="L94" s="49">
        <v>48</v>
      </c>
      <c r="M94" s="49">
        <v>49</v>
      </c>
      <c r="N94" s="49">
        <v>50</v>
      </c>
      <c r="O94" s="49">
        <v>51</v>
      </c>
      <c r="P94" s="49">
        <v>52</v>
      </c>
      <c r="Q94" s="49">
        <v>53</v>
      </c>
      <c r="R94" s="49">
        <v>54</v>
      </c>
      <c r="S94" s="49">
        <v>55</v>
      </c>
      <c r="T94" s="49">
        <v>56</v>
      </c>
      <c r="U94" s="49">
        <v>57</v>
      </c>
      <c r="V94" s="49">
        <v>58</v>
      </c>
      <c r="W94" s="49">
        <v>59</v>
      </c>
      <c r="X94" s="49">
        <v>60</v>
      </c>
      <c r="Y94" s="49">
        <v>61</v>
      </c>
      <c r="Z94" s="49">
        <v>62</v>
      </c>
      <c r="AA94" s="49">
        <v>63</v>
      </c>
      <c r="AB94" s="49">
        <v>64</v>
      </c>
      <c r="AC94" s="49">
        <v>65</v>
      </c>
      <c r="AD94" s="49">
        <v>66</v>
      </c>
      <c r="AE94" s="49">
        <v>67</v>
      </c>
      <c r="AF94" s="49">
        <v>68</v>
      </c>
      <c r="AM94" s="59"/>
      <c r="AN94" s="46"/>
      <c r="AO94" s="59"/>
      <c r="AP94" s="75" cm="1">
        <f t="array" ref="AP94">SUM(VLOOKUP(I95:W95,GRADEPOINT!$A$2:$B$7,2,0)*$I$4:$W$4)</f>
        <v>61</v>
      </c>
      <c r="AQ94" s="73">
        <f t="shared" ref="AQ94" si="172">ROUND(AP94/AM95,2)</f>
        <v>2.65</v>
      </c>
      <c r="AR94" s="72"/>
    </row>
    <row r="95" spans="1:44" ht="15" thickBot="1" x14ac:dyDescent="0.35">
      <c r="A95" s="99"/>
      <c r="B95" s="83"/>
      <c r="C95" s="92"/>
      <c r="D95" s="93"/>
      <c r="E95" s="93"/>
      <c r="F95" s="93"/>
      <c r="G95" s="93"/>
      <c r="H95" s="93"/>
      <c r="I95" s="50" t="str" cm="1">
        <f t="array" ref="I95">_xlfn.IFS(I94&gt;= 70,"A",I94&gt;=60,"B",I94&gt;=50,"C",I94&gt;=45,"D",I94&gt;=40,"E",I94&lt;40,"F")</f>
        <v>D</v>
      </c>
      <c r="J95" s="50" t="str" cm="1">
        <f t="array" ref="J95">_xlfn.IFS(J94&gt;= 70,"A",J94&gt;=60,"B",J94&gt;=50,"C",J94&gt;=45,"D",J94&gt;=40,"E",J94&lt;40,"F")</f>
        <v>D</v>
      </c>
      <c r="K95" s="50" t="str" cm="1">
        <f t="array" ref="K95">_xlfn.IFS(K94&gt;= 70,"A",K94&gt;=60,"B",K94&gt;=50,"C",K94&gt;=45,"D",K94&gt;=40,"E",K94&lt;40,"F")</f>
        <v>D</v>
      </c>
      <c r="L95" s="50" t="str" cm="1">
        <f t="array" ref="L95">_xlfn.IFS(L94&gt;= 70,"A",L94&gt;=60,"B",L94&gt;=50,"C",L94&gt;=45,"D",L94&gt;=40,"E",L94&lt;40,"F")</f>
        <v>D</v>
      </c>
      <c r="M95" s="50" t="str" cm="1">
        <f t="array" ref="M95">_xlfn.IFS(M94&gt;= 70,"A",M94&gt;=60,"B",M94&gt;=50,"C",M94&gt;=45,"D",M94&gt;=40,"E",M94&lt;40,"F")</f>
        <v>D</v>
      </c>
      <c r="N95" s="50" t="str" cm="1">
        <f t="array" ref="N95">_xlfn.IFS(N94&gt;= 70,"A",N94&gt;=60,"B",N94&gt;=50,"C",N94&gt;=45,"D",N94&gt;=40,"E",N94&lt;40,"F")</f>
        <v>C</v>
      </c>
      <c r="O95" s="50" t="str" cm="1">
        <f t="array" ref="O95">_xlfn.IFS(O94&gt;= 70,"A",O94&gt;=60,"B",O94&gt;=50,"C",O94&gt;=45,"D",O94&gt;=40,"E",O94&lt;40,"F")</f>
        <v>C</v>
      </c>
      <c r="P95" s="50" t="str" cm="1">
        <f t="array" ref="P95">_xlfn.IFS(P94&gt;= 70,"A",P94&gt;=60,"B",P94&gt;=50,"C",P94&gt;=45,"D",P94&gt;=40,"E",P94&lt;40,"F")</f>
        <v>C</v>
      </c>
      <c r="Q95" s="50" t="str" cm="1">
        <f t="array" ref="Q95">_xlfn.IFS(Q94&gt;= 70,"A",Q94&gt;=60,"B",Q94&gt;=50,"C",Q94&gt;=45,"D",Q94&gt;=40,"E",Q94&lt;40,"F")</f>
        <v>C</v>
      </c>
      <c r="R95" s="50" t="str" cm="1">
        <f t="array" ref="R95">_xlfn.IFS(R94&gt;= 70,"A",R94&gt;=60,"B",R94&gt;=50,"C",R94&gt;=45,"D",R94&gt;=40,"E",R94&lt;40,"F")</f>
        <v>C</v>
      </c>
      <c r="S95" s="50" t="str" cm="1">
        <f t="array" ref="S95">_xlfn.IFS(S94&gt;= 70,"A",S94&gt;=60,"B",S94&gt;=50,"C",S94&gt;=45,"D",S94&gt;=40,"E",S94&lt;40,"F")</f>
        <v>C</v>
      </c>
      <c r="T95" s="50" t="str" cm="1">
        <f t="array" ref="T95">_xlfn.IFS(T94&gt;= 70,"A",T94&gt;=60,"B",T94&gt;=50,"C",T94&gt;=45,"D",T94&gt;=40,"E",T94&lt;40,"F")</f>
        <v>C</v>
      </c>
      <c r="U95" s="50" t="str" cm="1">
        <f t="array" ref="U95">_xlfn.IFS(U94&gt;= 70,"A",U94&gt;=60,"B",U94&gt;=50,"C",U94&gt;=45,"D",U94&gt;=40,"E",U94&lt;40,"F")</f>
        <v>C</v>
      </c>
      <c r="V95" s="50" t="str" cm="1">
        <f t="array" ref="V95">_xlfn.IFS(V94&gt;= 70,"A",V94&gt;=60,"B",V94&gt;=50,"C",V94&gt;=45,"D",V94&gt;=40,"E",V94&lt;40,"F")</f>
        <v>C</v>
      </c>
      <c r="W95" s="50" t="str" cm="1">
        <f t="array" ref="W95">_xlfn.IFS(W94&gt;= 70,"A",W94&gt;=60,"B",W94&gt;=50,"C",W94&gt;=45,"D",W94&gt;=40,"E",W94&lt;40,"F")</f>
        <v>C</v>
      </c>
      <c r="X95" s="50" t="str" cm="1">
        <f t="array" ref="X95">_xlfn.IFS(X94&gt;= 70,"A",X94&gt;=60,"B",X94&gt;=50,"C",X94&gt;=45,"D",X94&gt;=40,"E",X94&lt;40,"F")</f>
        <v>B</v>
      </c>
      <c r="Y95" s="50" t="str" cm="1">
        <f t="array" ref="Y95">_xlfn.IFS(Y94&gt;= 70,"A",Y94&gt;=60,"B",Y94&gt;=50,"C",Y94&gt;=45,"D",Y94&gt;=40,"E",Y94&lt;40,"F")</f>
        <v>B</v>
      </c>
      <c r="Z95" s="50" t="str" cm="1">
        <f t="array" ref="Z95">_xlfn.IFS(Z94&gt;= 70,"A",Z94&gt;=60,"B",Z94&gt;=50,"C",Z94&gt;=45,"D",Z94&gt;=40,"E",Z94&lt;40,"F")</f>
        <v>B</v>
      </c>
      <c r="AA95" s="50" t="str" cm="1">
        <f t="array" ref="AA95">_xlfn.IFS(AA94&gt;= 70,"A",AA94&gt;=60,"B",AA94&gt;=50,"C",AA94&gt;=45,"D",AA94&gt;=40,"E",AA94&lt;40,"F")</f>
        <v>B</v>
      </c>
      <c r="AB95" s="50" t="str" cm="1">
        <f t="array" ref="AB95">_xlfn.IFS(AB94&gt;= 70,"A",AB94&gt;=60,"B",AB94&gt;=50,"C",AB94&gt;=45,"D",AB94&gt;=40,"E",AB94&lt;40,"F")</f>
        <v>B</v>
      </c>
      <c r="AC95" s="50" t="str" cm="1">
        <f t="array" ref="AC95">_xlfn.IFS(AC94&gt;= 70,"A",AC94&gt;=60,"B",AC94&gt;=50,"C",AC94&gt;=45,"D",AC94&gt;=40,"E",AC94&lt;40,"F")</f>
        <v>B</v>
      </c>
      <c r="AD95" s="50" t="str" cm="1">
        <f t="array" ref="AD95">_xlfn.IFS(AD94&gt;= 70,"A",AD94&gt;=60,"B",AD94&gt;=50,"C",AD94&gt;=45,"D",AD94&gt;=40,"E",AD94&lt;40,"F")</f>
        <v>B</v>
      </c>
      <c r="AE95" s="50" t="str" cm="1">
        <f t="array" ref="AE95">_xlfn.IFS(AE94&gt;= 70,"A",AE94&gt;=60,"B",AE94&gt;=50,"C",AE94&gt;=45,"D",AE94&gt;=40,"E",AE94&lt;40,"F")</f>
        <v>B</v>
      </c>
      <c r="AF95" s="50" t="str" cm="1">
        <f t="array" ref="AF95">_xlfn.IFS(AF94&gt;= 70,"A",AF94&gt;=60,"B",AF94&gt;=50,"C",AF94&gt;=45,"D",AF94&gt;=40,"E",AF94&lt;40,"F")</f>
        <v>B</v>
      </c>
      <c r="AM95" s="56">
        <f t="shared" ref="AM95" si="173">SUMIFS($I$4:$W$4,I94:W94,"&gt;0")</f>
        <v>23</v>
      </c>
      <c r="AN95" s="47">
        <f t="shared" ref="AN95" si="174">(SUMIFS($I$4:$W$4,I94:W94,"&gt;0")-SUMIFS($I$4:$W$4,I95:W95,"F"))</f>
        <v>23</v>
      </c>
      <c r="AO95" s="56">
        <f t="shared" ref="AO95" si="175">SUMIFS($I$4:$W$4,I95:W95,"F")</f>
        <v>0</v>
      </c>
      <c r="AP95" s="76"/>
      <c r="AQ95" s="74"/>
      <c r="AR95" s="71"/>
    </row>
    <row r="96" spans="1:44" ht="15" thickTop="1" x14ac:dyDescent="0.3">
      <c r="A96" s="68">
        <v>46</v>
      </c>
      <c r="B96" s="77"/>
      <c r="C96" s="90"/>
      <c r="D96" s="91"/>
      <c r="E96" s="91"/>
      <c r="F96" s="91"/>
      <c r="G96" s="91"/>
      <c r="H96" s="91"/>
      <c r="I96" s="49">
        <v>45</v>
      </c>
      <c r="J96" s="49">
        <v>46</v>
      </c>
      <c r="K96" s="49">
        <v>47</v>
      </c>
      <c r="L96" s="49">
        <v>48</v>
      </c>
      <c r="M96" s="49">
        <v>49</v>
      </c>
      <c r="N96" s="49">
        <v>50</v>
      </c>
      <c r="O96" s="49">
        <v>51</v>
      </c>
      <c r="P96" s="49">
        <v>52</v>
      </c>
      <c r="Q96" s="49">
        <v>53</v>
      </c>
      <c r="R96" s="49">
        <v>54</v>
      </c>
      <c r="S96" s="49">
        <v>55</v>
      </c>
      <c r="T96" s="49">
        <v>56</v>
      </c>
      <c r="U96" s="49">
        <v>57</v>
      </c>
      <c r="V96" s="49">
        <v>58</v>
      </c>
      <c r="W96" s="49">
        <v>59</v>
      </c>
      <c r="X96" s="49">
        <v>60</v>
      </c>
      <c r="Y96" s="49">
        <v>61</v>
      </c>
      <c r="Z96" s="49">
        <v>62</v>
      </c>
      <c r="AA96" s="49">
        <v>63</v>
      </c>
      <c r="AB96" s="49">
        <v>64</v>
      </c>
      <c r="AC96" s="49">
        <v>65</v>
      </c>
      <c r="AD96" s="49">
        <v>66</v>
      </c>
      <c r="AE96" s="49">
        <v>67</v>
      </c>
      <c r="AF96" s="49">
        <v>68</v>
      </c>
      <c r="AM96" s="59"/>
      <c r="AN96" s="46"/>
      <c r="AO96" s="59"/>
      <c r="AP96" s="75" cm="1">
        <f t="array" ref="AP96">SUM(VLOOKUP(I97:W97,GRADEPOINT!$A$2:$B$7,2,0)*$I$4:$W$4)</f>
        <v>61</v>
      </c>
      <c r="AQ96" s="73">
        <f t="shared" ref="AQ96" si="176">ROUND(AP96/AM97,2)</f>
        <v>2.65</v>
      </c>
      <c r="AR96" s="72"/>
    </row>
    <row r="97" spans="1:44" ht="15" thickBot="1" x14ac:dyDescent="0.35">
      <c r="A97" s="69"/>
      <c r="B97" s="83"/>
      <c r="C97" s="76"/>
      <c r="D97" s="89"/>
      <c r="E97" s="89"/>
      <c r="F97" s="89"/>
      <c r="G97" s="89"/>
      <c r="H97" s="89"/>
      <c r="I97" s="50" t="str" cm="1">
        <f t="array" ref="I97">_xlfn.IFS(I96&gt;= 70,"A",I96&gt;=60,"B",I96&gt;=50,"C",I96&gt;=45,"D",I96&gt;=40,"E",I96&lt;40,"F")</f>
        <v>D</v>
      </c>
      <c r="J97" s="50" t="str" cm="1">
        <f t="array" ref="J97">_xlfn.IFS(J96&gt;= 70,"A",J96&gt;=60,"B",J96&gt;=50,"C",J96&gt;=45,"D",J96&gt;=40,"E",J96&lt;40,"F")</f>
        <v>D</v>
      </c>
      <c r="K97" s="50" t="str" cm="1">
        <f t="array" ref="K97">_xlfn.IFS(K96&gt;= 70,"A",K96&gt;=60,"B",K96&gt;=50,"C",K96&gt;=45,"D",K96&gt;=40,"E",K96&lt;40,"F")</f>
        <v>D</v>
      </c>
      <c r="L97" s="50" t="str" cm="1">
        <f t="array" ref="L97">_xlfn.IFS(L96&gt;= 70,"A",L96&gt;=60,"B",L96&gt;=50,"C",L96&gt;=45,"D",L96&gt;=40,"E",L96&lt;40,"F")</f>
        <v>D</v>
      </c>
      <c r="M97" s="50" t="str" cm="1">
        <f t="array" ref="M97">_xlfn.IFS(M96&gt;= 70,"A",M96&gt;=60,"B",M96&gt;=50,"C",M96&gt;=45,"D",M96&gt;=40,"E",M96&lt;40,"F")</f>
        <v>D</v>
      </c>
      <c r="N97" s="50" t="str" cm="1">
        <f t="array" ref="N97">_xlfn.IFS(N96&gt;= 70,"A",N96&gt;=60,"B",N96&gt;=50,"C",N96&gt;=45,"D",N96&gt;=40,"E",N96&lt;40,"F")</f>
        <v>C</v>
      </c>
      <c r="O97" s="51" t="str" cm="1">
        <f t="array" ref="O97">_xlfn.IFS(O96&gt;= 70,"A",O96&gt;=60,"B",O96&gt;=50,"C",O96&gt;=45,"D",O96&gt;=40,"E",O96&lt;40,"F")</f>
        <v>C</v>
      </c>
      <c r="P97" s="50" t="str" cm="1">
        <f t="array" ref="P97">_xlfn.IFS(P96&gt;= 70,"A",P96&gt;=60,"B",P96&gt;=50,"C",P96&gt;=45,"D",P96&gt;=40,"E",P96&lt;40,"F")</f>
        <v>C</v>
      </c>
      <c r="Q97" s="50" t="str" cm="1">
        <f t="array" ref="Q97">_xlfn.IFS(Q96&gt;= 70,"A",Q96&gt;=60,"B",Q96&gt;=50,"C",Q96&gt;=45,"D",Q96&gt;=40,"E",Q96&lt;40,"F")</f>
        <v>C</v>
      </c>
      <c r="R97" s="50" t="str" cm="1">
        <f t="array" ref="R97">_xlfn.IFS(R96&gt;= 70,"A",R96&gt;=60,"B",R96&gt;=50,"C",R96&gt;=45,"D",R96&gt;=40,"E",R96&lt;40,"F")</f>
        <v>C</v>
      </c>
      <c r="S97" s="51" t="str" cm="1">
        <f t="array" ref="S97">_xlfn.IFS(S96&gt;= 70,"A",S96&gt;=60,"B",S96&gt;=50,"C",S96&gt;=45,"D",S96&gt;=40,"E",S96&lt;40,"F")</f>
        <v>C</v>
      </c>
      <c r="T97" s="50" t="str" cm="1">
        <f t="array" ref="T97">_xlfn.IFS(T96&gt;= 70,"A",T96&gt;=60,"B",T96&gt;=50,"C",T96&gt;=45,"D",T96&gt;=40,"E",T96&lt;40,"F")</f>
        <v>C</v>
      </c>
      <c r="U97" s="50" t="str" cm="1">
        <f t="array" ref="U97">_xlfn.IFS(U96&gt;= 70,"A",U96&gt;=60,"B",U96&gt;=50,"C",U96&gt;=45,"D",U96&gt;=40,"E",U96&lt;40,"F")</f>
        <v>C</v>
      </c>
      <c r="V97" s="50" t="str" cm="1">
        <f t="array" ref="V97">_xlfn.IFS(V96&gt;= 70,"A",V96&gt;=60,"B",V96&gt;=50,"C",V96&gt;=45,"D",V96&gt;=40,"E",V96&lt;40,"F")</f>
        <v>C</v>
      </c>
      <c r="W97" s="50" t="str" cm="1">
        <f t="array" ref="W97">_xlfn.IFS(W96&gt;= 70,"A",W96&gt;=60,"B",W96&gt;=50,"C",W96&gt;=45,"D",W96&gt;=40,"E",W96&lt;40,"F")</f>
        <v>C</v>
      </c>
      <c r="X97" s="50" t="str" cm="1">
        <f t="array" ref="X97">_xlfn.IFS(X96&gt;= 70,"A",X96&gt;=60,"B",X96&gt;=50,"C",X96&gt;=45,"D",X96&gt;=40,"E",X96&lt;40,"F")</f>
        <v>B</v>
      </c>
      <c r="Y97" s="50" t="str" cm="1">
        <f t="array" ref="Y97">_xlfn.IFS(Y96&gt;= 70,"A",Y96&gt;=60,"B",Y96&gt;=50,"C",Y96&gt;=45,"D",Y96&gt;=40,"E",Y96&lt;40,"F")</f>
        <v>B</v>
      </c>
      <c r="Z97" s="50" t="str" cm="1">
        <f t="array" ref="Z97">_xlfn.IFS(Z96&gt;= 70,"A",Z96&gt;=60,"B",Z96&gt;=50,"C",Z96&gt;=45,"D",Z96&gt;=40,"E",Z96&lt;40,"F")</f>
        <v>B</v>
      </c>
      <c r="AA97" s="50" t="str" cm="1">
        <f t="array" ref="AA97">_xlfn.IFS(AA96&gt;= 70,"A",AA96&gt;=60,"B",AA96&gt;=50,"C",AA96&gt;=45,"D",AA96&gt;=40,"E",AA96&lt;40,"F")</f>
        <v>B</v>
      </c>
      <c r="AB97" s="50" t="str" cm="1">
        <f t="array" ref="AB97">_xlfn.IFS(AB96&gt;= 70,"A",AB96&gt;=60,"B",AB96&gt;=50,"C",AB96&gt;=45,"D",AB96&gt;=40,"E",AB96&lt;40,"F")</f>
        <v>B</v>
      </c>
      <c r="AC97" s="50" t="str" cm="1">
        <f t="array" ref="AC97">_xlfn.IFS(AC96&gt;= 70,"A",AC96&gt;=60,"B",AC96&gt;=50,"C",AC96&gt;=45,"D",AC96&gt;=40,"E",AC96&lt;40,"F")</f>
        <v>B</v>
      </c>
      <c r="AD97" s="50" t="str" cm="1">
        <f t="array" ref="AD97">_xlfn.IFS(AD96&gt;= 70,"A",AD96&gt;=60,"B",AD96&gt;=50,"C",AD96&gt;=45,"D",AD96&gt;=40,"E",AD96&lt;40,"F")</f>
        <v>B</v>
      </c>
      <c r="AE97" s="50" t="str" cm="1">
        <f t="array" ref="AE97">_xlfn.IFS(AE96&gt;= 70,"A",AE96&gt;=60,"B",AE96&gt;=50,"C",AE96&gt;=45,"D",AE96&gt;=40,"E",AE96&lt;40,"F")</f>
        <v>B</v>
      </c>
      <c r="AF97" s="50" t="str" cm="1">
        <f t="array" ref="AF97">_xlfn.IFS(AF96&gt;= 70,"A",AF96&gt;=60,"B",AF96&gt;=50,"C",AF96&gt;=45,"D",AF96&gt;=40,"E",AF96&lt;40,"F")</f>
        <v>B</v>
      </c>
      <c r="AM97" s="56">
        <f t="shared" ref="AM97" si="177">SUMIFS($I$4:$W$4,I96:W96,"&gt;0")</f>
        <v>23</v>
      </c>
      <c r="AN97" s="47">
        <f t="shared" ref="AN97" si="178">(SUMIFS($I$4:$W$4,I96:W96,"&gt;0")-SUMIFS($I$4:$W$4,I97:W97,"F"))</f>
        <v>23</v>
      </c>
      <c r="AO97" s="56">
        <f t="shared" ref="AO97" si="179">SUMIFS($I$4:$W$4,I97:W97,"F")</f>
        <v>0</v>
      </c>
      <c r="AP97" s="76"/>
      <c r="AQ97" s="74"/>
      <c r="AR97" s="71"/>
    </row>
    <row r="98" spans="1:44" ht="15" thickTop="1" x14ac:dyDescent="0.3">
      <c r="A98" s="68">
        <v>47</v>
      </c>
      <c r="B98" s="77"/>
      <c r="C98" s="84"/>
      <c r="D98" s="84"/>
      <c r="E98" s="84"/>
      <c r="F98" s="84"/>
      <c r="G98" s="84"/>
      <c r="H98" s="84"/>
      <c r="I98" s="49">
        <v>45</v>
      </c>
      <c r="J98" s="49">
        <v>46</v>
      </c>
      <c r="K98" s="49">
        <v>47</v>
      </c>
      <c r="L98" s="49">
        <v>48</v>
      </c>
      <c r="M98" s="49">
        <v>49</v>
      </c>
      <c r="N98" s="49">
        <v>50</v>
      </c>
      <c r="O98" s="49">
        <v>51</v>
      </c>
      <c r="P98" s="49">
        <v>52</v>
      </c>
      <c r="Q98" s="49">
        <v>53</v>
      </c>
      <c r="R98" s="49">
        <v>54</v>
      </c>
      <c r="S98" s="49">
        <v>55</v>
      </c>
      <c r="T98" s="49">
        <v>56</v>
      </c>
      <c r="U98" s="49">
        <v>57</v>
      </c>
      <c r="V98" s="49" t="s">
        <v>43</v>
      </c>
      <c r="W98" s="49">
        <v>59</v>
      </c>
      <c r="X98" s="7"/>
      <c r="Y98" s="7"/>
      <c r="Z98" s="7"/>
      <c r="AA98" s="7"/>
      <c r="AB98" s="7"/>
      <c r="AC98" s="7"/>
      <c r="AD98" s="7"/>
      <c r="AE98" s="7"/>
      <c r="AF98" s="7"/>
      <c r="AM98" s="59"/>
      <c r="AN98" s="46"/>
      <c r="AO98" s="59"/>
      <c r="AP98" s="75" cm="1">
        <f t="array" ref="AP98">SUM(VLOOKUP(I99:W99,GRADEPOINT!$A$2:$B$7,2,0)*$I$4:$W$4)</f>
        <v>63</v>
      </c>
      <c r="AQ98" s="73">
        <f t="shared" ref="AQ98" si="180">ROUND(AP98/AM99,2)</f>
        <v>2.86</v>
      </c>
      <c r="AR98" s="72"/>
    </row>
    <row r="99" spans="1:44" ht="15" thickBot="1" x14ac:dyDescent="0.35">
      <c r="A99" s="69"/>
      <c r="B99" s="83"/>
      <c r="C99" s="89"/>
      <c r="D99" s="89"/>
      <c r="E99" s="89"/>
      <c r="F99" s="89"/>
      <c r="G99" s="89"/>
      <c r="H99" s="89"/>
      <c r="I99" s="50" t="str" cm="1">
        <f t="array" ref="I99">_xlfn.IFS(I98&gt;= 70,"A",I98&gt;=60,"B",I98&gt;=50,"C",I98&gt;=45,"D",I98&gt;=40,"E",I98&lt;40,"F")</f>
        <v>D</v>
      </c>
      <c r="J99" s="50" t="str" cm="1">
        <f t="array" ref="J99">_xlfn.IFS(J98&gt;= 70,"A",J98&gt;=60,"B",J98&gt;=50,"C",J98&gt;=45,"D",J98&gt;=40,"E",J98&lt;40,"F")</f>
        <v>D</v>
      </c>
      <c r="K99" s="50" t="str" cm="1">
        <f t="array" ref="K99">_xlfn.IFS(K98&gt;= 70,"A",K98&gt;=60,"B",K98&gt;=50,"C",K98&gt;=45,"D",K98&gt;=40,"E",K98&lt;40,"F")</f>
        <v>D</v>
      </c>
      <c r="L99" s="50" t="str" cm="1">
        <f t="array" ref="L99">_xlfn.IFS(L98&gt;= 70,"A",L98&gt;=60,"B",L98&gt;=50,"C",L98&gt;=45,"D",L98&gt;=40,"E",L98&lt;40,"F")</f>
        <v>D</v>
      </c>
      <c r="M99" s="50" t="str" cm="1">
        <f t="array" ref="M99">_xlfn.IFS(M98&gt;= 70,"A",M98&gt;=60,"B",M98&gt;=50,"C",M98&gt;=45,"D",M98&gt;=40,"E",M98&lt;40,"F")</f>
        <v>D</v>
      </c>
      <c r="N99" s="50" t="str" cm="1">
        <f t="array" ref="N99">_xlfn.IFS(N98&gt;= 70,"A",N98&gt;=60,"B",N98&gt;=50,"C",N98&gt;=45,"D",N98&gt;=40,"E",N98&lt;40,"F")</f>
        <v>C</v>
      </c>
      <c r="O99" s="51" t="str" cm="1">
        <f t="array" ref="O99">_xlfn.IFS(O98&gt;= 70,"A",O98&gt;=60,"B",O98&gt;=50,"C",O98&gt;=45,"D",O98&gt;=40,"E",O98&lt;40,"F")</f>
        <v>C</v>
      </c>
      <c r="P99" s="50" t="str" cm="1">
        <f t="array" ref="P99">_xlfn.IFS(P98&gt;= 70,"A",P98&gt;=60,"B",P98&gt;=50,"C",P98&gt;=45,"D",P98&gt;=40,"E",P98&lt;40,"F")</f>
        <v>C</v>
      </c>
      <c r="Q99" s="50" t="str" cm="1">
        <f t="array" ref="Q99">_xlfn.IFS(Q98&gt;= 70,"A",Q98&gt;=60,"B",Q98&gt;=50,"C",Q98&gt;=45,"D",Q98&gt;=40,"E",Q98&lt;40,"F")</f>
        <v>C</v>
      </c>
      <c r="R99" s="50" t="str" cm="1">
        <f t="array" ref="R99">_xlfn.IFS(R98&gt;= 70,"A",R98&gt;=60,"B",R98&gt;=50,"C",R98&gt;=45,"D",R98&gt;=40,"E",R98&lt;40,"F")</f>
        <v>C</v>
      </c>
      <c r="S99" s="51" t="str" cm="1">
        <f t="array" ref="S99">_xlfn.IFS(S98&gt;= 70,"A",S98&gt;=60,"B",S98&gt;=50,"C",S98&gt;=45,"D",S98&gt;=40,"E",S98&lt;40,"F")</f>
        <v>C</v>
      </c>
      <c r="T99" s="50" t="str" cm="1">
        <f t="array" ref="T99">_xlfn.IFS(T98&gt;= 70,"A",T98&gt;=60,"B",T98&gt;=50,"C",T98&gt;=45,"D",T98&gt;=40,"E",T98&lt;40,"F")</f>
        <v>C</v>
      </c>
      <c r="U99" s="50" t="str" cm="1">
        <f t="array" ref="U99">_xlfn.IFS(U98&gt;= 70,"A",U98&gt;=60,"B",U98&gt;=50,"C",U98&gt;=45,"D",U98&gt;=40,"E",U98&lt;40,"F")</f>
        <v>C</v>
      </c>
      <c r="V99" s="50" t="str" cm="1">
        <f t="array" ref="V99">_xlfn.IFS(V98&gt;= 70,"A",V98&gt;=60,"B",V98&gt;=50,"C",V98&gt;=45,"D",V98&gt;=40,"E",V98&lt;40,"F")</f>
        <v>A</v>
      </c>
      <c r="W99" s="50" t="str" cm="1">
        <f t="array" ref="W99">_xlfn.IFS(W98&gt;= 70,"A",W98&gt;=60,"B",W98&gt;=50,"C",W98&gt;=45,"D",W98&gt;=40,"E",W98&lt;40,"F")</f>
        <v>C</v>
      </c>
      <c r="X99" s="7"/>
      <c r="Y99" s="7"/>
      <c r="Z99" s="7"/>
      <c r="AA99" s="7"/>
      <c r="AB99" s="7"/>
      <c r="AC99" s="7"/>
      <c r="AD99" s="7"/>
      <c r="AE99" s="7"/>
      <c r="AF99" s="7"/>
      <c r="AM99" s="56">
        <f t="shared" ref="AM99" si="181">SUMIFS($I$4:$W$4,I98:W98,"&gt;0")</f>
        <v>22</v>
      </c>
      <c r="AN99" s="47">
        <f t="shared" ref="AN99" si="182">(SUMIFS($I$4:$W$4,I98:W98,"&gt;0")-SUMIFS($I$4:$W$4,I99:W99,"F"))</f>
        <v>22</v>
      </c>
      <c r="AO99" s="56">
        <f t="shared" ref="AO99" si="183">SUMIFS($I$4:$W$4,I99:W99,"F")</f>
        <v>0</v>
      </c>
      <c r="AP99" s="76"/>
      <c r="AQ99" s="74"/>
      <c r="AR99" s="71"/>
    </row>
    <row r="100" spans="1:44" ht="15" thickTop="1" x14ac:dyDescent="0.3">
      <c r="A100" s="68">
        <v>48</v>
      </c>
      <c r="B100" s="77"/>
      <c r="C100" s="84"/>
      <c r="D100" s="84"/>
      <c r="E100" s="84"/>
      <c r="F100" s="84"/>
      <c r="G100" s="84"/>
      <c r="H100" s="84"/>
      <c r="I100" s="49">
        <v>45</v>
      </c>
      <c r="J100" s="49">
        <v>46</v>
      </c>
      <c r="K100" s="49">
        <v>47</v>
      </c>
      <c r="L100" s="49">
        <v>48</v>
      </c>
      <c r="M100" s="49">
        <v>49</v>
      </c>
      <c r="N100" s="49">
        <v>50</v>
      </c>
      <c r="O100" s="49">
        <v>51</v>
      </c>
      <c r="P100" s="49">
        <v>52</v>
      </c>
      <c r="Q100" s="49">
        <v>53</v>
      </c>
      <c r="R100" s="49">
        <v>54</v>
      </c>
      <c r="S100" s="49">
        <v>55</v>
      </c>
      <c r="T100" s="49">
        <v>56</v>
      </c>
      <c r="U100" s="49">
        <v>57</v>
      </c>
      <c r="V100" s="49">
        <v>58</v>
      </c>
      <c r="W100" s="49">
        <v>59</v>
      </c>
      <c r="X100" s="7"/>
      <c r="Y100" s="7"/>
      <c r="Z100" s="7"/>
      <c r="AA100" s="7"/>
      <c r="AB100" s="7"/>
      <c r="AC100" s="7"/>
      <c r="AD100" s="7"/>
      <c r="AE100" s="7"/>
      <c r="AF100" s="7"/>
      <c r="AM100" s="59"/>
      <c r="AN100" s="46"/>
      <c r="AO100" s="59"/>
      <c r="AP100" s="75" cm="1">
        <f t="array" ref="AP100">SUM(VLOOKUP(I101:W101,GRADEPOINT!$A$2:$B$7,2,0)*$I$4:$W$4)</f>
        <v>61</v>
      </c>
      <c r="AQ100" s="73">
        <f t="shared" ref="AQ100" si="184">ROUND(AP100/AM101,2)</f>
        <v>2.65</v>
      </c>
      <c r="AR100" s="72"/>
    </row>
    <row r="101" spans="1:44" ht="15" thickBot="1" x14ac:dyDescent="0.35">
      <c r="A101" s="69"/>
      <c r="B101" s="83"/>
      <c r="C101" s="89"/>
      <c r="D101" s="89"/>
      <c r="E101" s="89"/>
      <c r="F101" s="89"/>
      <c r="G101" s="89"/>
      <c r="H101" s="89"/>
      <c r="I101" s="50" t="str" cm="1">
        <f t="array" ref="I101">_xlfn.IFS(I100&gt;= 70,"A",I100&gt;=60,"B",I100&gt;=50,"C",I100&gt;=45,"D",I100&gt;=40,"E",I100&lt;40,"F")</f>
        <v>D</v>
      </c>
      <c r="J101" s="50" t="str" cm="1">
        <f t="array" ref="J101">_xlfn.IFS(J100&gt;= 70,"A",J100&gt;=60,"B",J100&gt;=50,"C",J100&gt;=45,"D",J100&gt;=40,"E",J100&lt;40,"F")</f>
        <v>D</v>
      </c>
      <c r="K101" s="50" t="str" cm="1">
        <f t="array" ref="K101">_xlfn.IFS(K100&gt;= 70,"A",K100&gt;=60,"B",K100&gt;=50,"C",K100&gt;=45,"D",K100&gt;=40,"E",K100&lt;40,"F")</f>
        <v>D</v>
      </c>
      <c r="L101" s="50" t="str" cm="1">
        <f t="array" ref="L101">_xlfn.IFS(L100&gt;= 70,"A",L100&gt;=60,"B",L100&gt;=50,"C",L100&gt;=45,"D",L100&gt;=40,"E",L100&lt;40,"F")</f>
        <v>D</v>
      </c>
      <c r="M101" s="50" t="str" cm="1">
        <f t="array" ref="M101">_xlfn.IFS(M100&gt;= 70,"A",M100&gt;=60,"B",M100&gt;=50,"C",M100&gt;=45,"D",M100&gt;=40,"E",M100&lt;40,"F")</f>
        <v>D</v>
      </c>
      <c r="N101" s="50" t="str" cm="1">
        <f t="array" ref="N101">_xlfn.IFS(N100&gt;= 70,"A",N100&gt;=60,"B",N100&gt;=50,"C",N100&gt;=45,"D",N100&gt;=40,"E",N100&lt;40,"F")</f>
        <v>C</v>
      </c>
      <c r="O101" s="51" t="str" cm="1">
        <f t="array" ref="O101">_xlfn.IFS(O100&gt;= 70,"A",O100&gt;=60,"B",O100&gt;=50,"C",O100&gt;=45,"D",O100&gt;=40,"E",O100&lt;40,"F")</f>
        <v>C</v>
      </c>
      <c r="P101" s="50" t="str" cm="1">
        <f t="array" ref="P101">_xlfn.IFS(P100&gt;= 70,"A",P100&gt;=60,"B",P100&gt;=50,"C",P100&gt;=45,"D",P100&gt;=40,"E",P100&lt;40,"F")</f>
        <v>C</v>
      </c>
      <c r="Q101" s="50" t="str" cm="1">
        <f t="array" ref="Q101">_xlfn.IFS(Q100&gt;= 70,"A",Q100&gt;=60,"B",Q100&gt;=50,"C",Q100&gt;=45,"D",Q100&gt;=40,"E",Q100&lt;40,"F")</f>
        <v>C</v>
      </c>
      <c r="R101" s="50" t="str" cm="1">
        <f t="array" ref="R101">_xlfn.IFS(R100&gt;= 70,"A",R100&gt;=60,"B",R100&gt;=50,"C",R100&gt;=45,"D",R100&gt;=40,"E",R100&lt;40,"F")</f>
        <v>C</v>
      </c>
      <c r="S101" s="51" t="str" cm="1">
        <f t="array" ref="S101">_xlfn.IFS(S100&gt;= 70,"A",S100&gt;=60,"B",S100&gt;=50,"C",S100&gt;=45,"D",S100&gt;=40,"E",S100&lt;40,"F")</f>
        <v>C</v>
      </c>
      <c r="T101" s="50" t="str" cm="1">
        <f t="array" ref="T101">_xlfn.IFS(T100&gt;= 70,"A",T100&gt;=60,"B",T100&gt;=50,"C",T100&gt;=45,"D",T100&gt;=40,"E",T100&lt;40,"F")</f>
        <v>C</v>
      </c>
      <c r="U101" s="50" t="str" cm="1">
        <f t="array" ref="U101">_xlfn.IFS(U100&gt;= 70,"A",U100&gt;=60,"B",U100&gt;=50,"C",U100&gt;=45,"D",U100&gt;=40,"E",U100&lt;40,"F")</f>
        <v>C</v>
      </c>
      <c r="V101" s="50" t="str" cm="1">
        <f t="array" ref="V101">_xlfn.IFS(V100&gt;= 70,"A",V100&gt;=60,"B",V100&gt;=50,"C",V100&gt;=45,"D",V100&gt;=40,"E",V100&lt;40,"F")</f>
        <v>C</v>
      </c>
      <c r="W101" s="50" t="str" cm="1">
        <f t="array" ref="W101">_xlfn.IFS(W100&gt;= 70,"A",W100&gt;=60,"B",W100&gt;=50,"C",W100&gt;=45,"D",W100&gt;=40,"E",W100&lt;40,"F")</f>
        <v>C</v>
      </c>
      <c r="X101" s="7"/>
      <c r="Y101" s="7"/>
      <c r="Z101" s="7"/>
      <c r="AA101" s="7"/>
      <c r="AB101" s="7"/>
      <c r="AC101" s="7"/>
      <c r="AD101" s="7"/>
      <c r="AE101" s="7"/>
      <c r="AF101" s="7"/>
      <c r="AM101" s="56">
        <f t="shared" ref="AM101" si="185">SUMIFS($I$4:$W$4,I100:W100,"&gt;0")</f>
        <v>23</v>
      </c>
      <c r="AN101" s="47">
        <f t="shared" ref="AN101" si="186">(SUMIFS($I$4:$W$4,I100:W100,"&gt;0")-SUMIFS($I$4:$W$4,I101:W101,"F"))</f>
        <v>23</v>
      </c>
      <c r="AO101" s="56">
        <f t="shared" ref="AO101" si="187">SUMIFS($I$4:$W$4,I101:W101,"F")</f>
        <v>0</v>
      </c>
      <c r="AP101" s="76"/>
      <c r="AQ101" s="74"/>
      <c r="AR101" s="71"/>
    </row>
    <row r="102" spans="1:44" ht="15" thickTop="1" x14ac:dyDescent="0.3">
      <c r="A102" s="68">
        <v>49</v>
      </c>
      <c r="B102" s="77"/>
      <c r="C102" s="84"/>
      <c r="D102" s="84"/>
      <c r="E102" s="84"/>
      <c r="F102" s="84"/>
      <c r="G102" s="84"/>
      <c r="H102" s="84"/>
      <c r="I102" s="49">
        <v>45</v>
      </c>
      <c r="J102" s="49">
        <v>46</v>
      </c>
      <c r="K102" s="49">
        <v>47</v>
      </c>
      <c r="L102" s="49">
        <v>48</v>
      </c>
      <c r="M102" s="49">
        <v>49</v>
      </c>
      <c r="N102" s="49">
        <v>50</v>
      </c>
      <c r="O102" s="49">
        <v>51</v>
      </c>
      <c r="P102" s="49">
        <v>52</v>
      </c>
      <c r="Q102" s="49">
        <v>53</v>
      </c>
      <c r="R102" s="49">
        <v>54</v>
      </c>
      <c r="S102" s="49">
        <v>55</v>
      </c>
      <c r="T102" s="49">
        <v>56</v>
      </c>
      <c r="U102" s="49">
        <v>57</v>
      </c>
      <c r="V102" s="49">
        <v>58</v>
      </c>
      <c r="W102" s="49">
        <v>59</v>
      </c>
      <c r="X102" s="7"/>
      <c r="Y102" s="7"/>
      <c r="Z102" s="7"/>
      <c r="AA102" s="7"/>
      <c r="AB102" s="7"/>
      <c r="AC102" s="7"/>
      <c r="AD102" s="7"/>
      <c r="AE102" s="7"/>
      <c r="AF102" s="7"/>
      <c r="AM102" s="59"/>
      <c r="AN102" s="46"/>
      <c r="AO102" s="59"/>
      <c r="AP102" s="75" cm="1">
        <f t="array" ref="AP102">SUM(VLOOKUP(I103:W103,GRADEPOINT!$A$2:$B$7,2,0)*$I$4:$W$4)</f>
        <v>61</v>
      </c>
      <c r="AQ102" s="73">
        <f t="shared" ref="AQ102" si="188">ROUND(AP102/AM103,2)</f>
        <v>2.65</v>
      </c>
      <c r="AR102" s="72"/>
    </row>
    <row r="103" spans="1:44" ht="15" thickBot="1" x14ac:dyDescent="0.35">
      <c r="A103" s="69"/>
      <c r="B103" s="83"/>
      <c r="C103" s="89"/>
      <c r="D103" s="89"/>
      <c r="E103" s="89"/>
      <c r="F103" s="89"/>
      <c r="G103" s="89"/>
      <c r="H103" s="89"/>
      <c r="I103" s="50" t="str" cm="1">
        <f t="array" ref="I103">_xlfn.IFS(I102&gt;= 70,"A",I102&gt;=60,"B",I102&gt;=50,"C",I102&gt;=45,"D",I102&gt;=40,"E",I102&lt;40,"F")</f>
        <v>D</v>
      </c>
      <c r="J103" s="50" t="str" cm="1">
        <f t="array" ref="J103">_xlfn.IFS(J102&gt;= 70,"A",J102&gt;=60,"B",J102&gt;=50,"C",J102&gt;=45,"D",J102&gt;=40,"E",J102&lt;40,"F")</f>
        <v>D</v>
      </c>
      <c r="K103" s="50" t="str" cm="1">
        <f t="array" ref="K103">_xlfn.IFS(K102&gt;= 70,"A",K102&gt;=60,"B",K102&gt;=50,"C",K102&gt;=45,"D",K102&gt;=40,"E",K102&lt;40,"F")</f>
        <v>D</v>
      </c>
      <c r="L103" s="50" t="str" cm="1">
        <f t="array" ref="L103">_xlfn.IFS(L102&gt;= 70,"A",L102&gt;=60,"B",L102&gt;=50,"C",L102&gt;=45,"D",L102&gt;=40,"E",L102&lt;40,"F")</f>
        <v>D</v>
      </c>
      <c r="M103" s="50" t="str" cm="1">
        <f t="array" ref="M103">_xlfn.IFS(M102&gt;= 70,"A",M102&gt;=60,"B",M102&gt;=50,"C",M102&gt;=45,"D",M102&gt;=40,"E",M102&lt;40,"F")</f>
        <v>D</v>
      </c>
      <c r="N103" s="50" t="str" cm="1">
        <f t="array" ref="N103">_xlfn.IFS(N102&gt;= 70,"A",N102&gt;=60,"B",N102&gt;=50,"C",N102&gt;=45,"D",N102&gt;=40,"E",N102&lt;40,"F")</f>
        <v>C</v>
      </c>
      <c r="O103" s="51" t="str" cm="1">
        <f t="array" ref="O103">_xlfn.IFS(O102&gt;= 70,"A",O102&gt;=60,"B",O102&gt;=50,"C",O102&gt;=45,"D",O102&gt;=40,"E",O102&lt;40,"F")</f>
        <v>C</v>
      </c>
      <c r="P103" s="50" t="str" cm="1">
        <f t="array" ref="P103">_xlfn.IFS(P102&gt;= 70,"A",P102&gt;=60,"B",P102&gt;=50,"C",P102&gt;=45,"D",P102&gt;=40,"E",P102&lt;40,"F")</f>
        <v>C</v>
      </c>
      <c r="Q103" s="50" t="str" cm="1">
        <f t="array" ref="Q103">_xlfn.IFS(Q102&gt;= 70,"A",Q102&gt;=60,"B",Q102&gt;=50,"C",Q102&gt;=45,"D",Q102&gt;=40,"E",Q102&lt;40,"F")</f>
        <v>C</v>
      </c>
      <c r="R103" s="50" t="str" cm="1">
        <f t="array" ref="R103">_xlfn.IFS(R102&gt;= 70,"A",R102&gt;=60,"B",R102&gt;=50,"C",R102&gt;=45,"D",R102&gt;=40,"E",R102&lt;40,"F")</f>
        <v>C</v>
      </c>
      <c r="S103" s="51" t="str" cm="1">
        <f t="array" ref="S103">_xlfn.IFS(S102&gt;= 70,"A",S102&gt;=60,"B",S102&gt;=50,"C",S102&gt;=45,"D",S102&gt;=40,"E",S102&lt;40,"F")</f>
        <v>C</v>
      </c>
      <c r="T103" s="50" t="str" cm="1">
        <f t="array" ref="T103">_xlfn.IFS(T102&gt;= 70,"A",T102&gt;=60,"B",T102&gt;=50,"C",T102&gt;=45,"D",T102&gt;=40,"E",T102&lt;40,"F")</f>
        <v>C</v>
      </c>
      <c r="U103" s="50" t="str" cm="1">
        <f t="array" ref="U103">_xlfn.IFS(U102&gt;= 70,"A",U102&gt;=60,"B",U102&gt;=50,"C",U102&gt;=45,"D",U102&gt;=40,"E",U102&lt;40,"F")</f>
        <v>C</v>
      </c>
      <c r="V103" s="50" t="str" cm="1">
        <f t="array" ref="V103">_xlfn.IFS(V102&gt;= 70,"A",V102&gt;=60,"B",V102&gt;=50,"C",V102&gt;=45,"D",V102&gt;=40,"E",V102&lt;40,"F")</f>
        <v>C</v>
      </c>
      <c r="W103" s="50" t="str" cm="1">
        <f t="array" ref="W103">_xlfn.IFS(W102&gt;= 70,"A",W102&gt;=60,"B",W102&gt;=50,"C",W102&gt;=45,"D",W102&gt;=40,"E",W102&lt;40,"F")</f>
        <v>C</v>
      </c>
      <c r="X103" s="7"/>
      <c r="Y103" s="7"/>
      <c r="Z103" s="7"/>
      <c r="AA103" s="7"/>
      <c r="AB103" s="7"/>
      <c r="AC103" s="7"/>
      <c r="AD103" s="7"/>
      <c r="AE103" s="7"/>
      <c r="AF103" s="7"/>
      <c r="AM103" s="56">
        <f t="shared" ref="AM103" si="189">SUMIFS($I$4:$W$4,I102:W102,"&gt;0")</f>
        <v>23</v>
      </c>
      <c r="AN103" s="47">
        <f t="shared" ref="AN103" si="190">(SUMIFS($I$4:$W$4,I102:W102,"&gt;0")-SUMIFS($I$4:$W$4,I103:W103,"F"))</f>
        <v>23</v>
      </c>
      <c r="AO103" s="56">
        <f t="shared" ref="AO103" si="191">SUMIFS($I$4:$W$4,I103:W103,"F")</f>
        <v>0</v>
      </c>
      <c r="AP103" s="76"/>
      <c r="AQ103" s="74"/>
      <c r="AR103" s="71"/>
    </row>
    <row r="104" spans="1:44" ht="15" thickTop="1" x14ac:dyDescent="0.3">
      <c r="A104" s="68">
        <v>50</v>
      </c>
      <c r="B104" s="77"/>
      <c r="C104" s="84"/>
      <c r="D104" s="84"/>
      <c r="E104" s="84"/>
      <c r="F104" s="84"/>
      <c r="G104" s="84"/>
      <c r="H104" s="84"/>
      <c r="I104" s="49">
        <v>45</v>
      </c>
      <c r="J104" s="49">
        <v>46</v>
      </c>
      <c r="K104" s="49">
        <v>47</v>
      </c>
      <c r="L104" s="49">
        <v>48</v>
      </c>
      <c r="M104" s="49">
        <v>49</v>
      </c>
      <c r="N104" s="49">
        <v>50</v>
      </c>
      <c r="O104" s="49">
        <v>51</v>
      </c>
      <c r="P104" s="49">
        <v>52</v>
      </c>
      <c r="Q104" s="49">
        <v>53</v>
      </c>
      <c r="R104" s="49">
        <v>54</v>
      </c>
      <c r="S104" s="49">
        <v>55</v>
      </c>
      <c r="T104" s="49">
        <v>56</v>
      </c>
      <c r="U104" s="49">
        <v>57</v>
      </c>
      <c r="V104" s="49">
        <v>58</v>
      </c>
      <c r="W104" s="49">
        <v>59</v>
      </c>
      <c r="X104" s="7"/>
      <c r="Y104" s="7"/>
      <c r="Z104" s="7"/>
      <c r="AA104" s="7"/>
      <c r="AB104" s="7"/>
      <c r="AC104" s="7"/>
      <c r="AD104" s="7"/>
      <c r="AE104" s="7"/>
      <c r="AF104" s="7"/>
      <c r="AM104" s="59"/>
      <c r="AN104" s="46"/>
      <c r="AO104" s="59"/>
      <c r="AP104" s="75" cm="1">
        <f t="array" ref="AP104">SUM(VLOOKUP(I105:W105,GRADEPOINT!$A$2:$B$7,2,0)*$I$4:$W$4)</f>
        <v>61</v>
      </c>
      <c r="AQ104" s="73">
        <f t="shared" ref="AQ104" si="192">ROUND(AP104/AM105,2)</f>
        <v>2.65</v>
      </c>
      <c r="AR104" s="72"/>
    </row>
    <row r="105" spans="1:44" ht="15" thickBot="1" x14ac:dyDescent="0.35">
      <c r="A105" s="69"/>
      <c r="B105" s="83"/>
      <c r="C105" s="89"/>
      <c r="D105" s="89"/>
      <c r="E105" s="89"/>
      <c r="F105" s="89"/>
      <c r="G105" s="89"/>
      <c r="H105" s="89"/>
      <c r="I105" s="50" t="str" cm="1">
        <f t="array" ref="I105">_xlfn.IFS(I104&gt;= 70,"A",I104&gt;=60,"B",I104&gt;=50,"C",I104&gt;=45,"D",I104&gt;=40,"E",I104&lt;40,"F")</f>
        <v>D</v>
      </c>
      <c r="J105" s="50" t="str" cm="1">
        <f t="array" ref="J105">_xlfn.IFS(J104&gt;= 70,"A",J104&gt;=60,"B",J104&gt;=50,"C",J104&gt;=45,"D",J104&gt;=40,"E",J104&lt;40,"F")</f>
        <v>D</v>
      </c>
      <c r="K105" s="50" t="str" cm="1">
        <f t="array" ref="K105">_xlfn.IFS(K104&gt;= 70,"A",K104&gt;=60,"B",K104&gt;=50,"C",K104&gt;=45,"D",K104&gt;=40,"E",K104&lt;40,"F")</f>
        <v>D</v>
      </c>
      <c r="L105" s="50" t="str" cm="1">
        <f t="array" ref="L105">_xlfn.IFS(L104&gt;= 70,"A",L104&gt;=60,"B",L104&gt;=50,"C",L104&gt;=45,"D",L104&gt;=40,"E",L104&lt;40,"F")</f>
        <v>D</v>
      </c>
      <c r="M105" s="50" t="str" cm="1">
        <f t="array" ref="M105">_xlfn.IFS(M104&gt;= 70,"A",M104&gt;=60,"B",M104&gt;=50,"C",M104&gt;=45,"D",M104&gt;=40,"E",M104&lt;40,"F")</f>
        <v>D</v>
      </c>
      <c r="N105" s="50" t="str" cm="1">
        <f t="array" ref="N105">_xlfn.IFS(N104&gt;= 70,"A",N104&gt;=60,"B",N104&gt;=50,"C",N104&gt;=45,"D",N104&gt;=40,"E",N104&lt;40,"F")</f>
        <v>C</v>
      </c>
      <c r="O105" s="51" t="str" cm="1">
        <f t="array" ref="O105">_xlfn.IFS(O104&gt;= 70,"A",O104&gt;=60,"B",O104&gt;=50,"C",O104&gt;=45,"D",O104&gt;=40,"E",O104&lt;40,"F")</f>
        <v>C</v>
      </c>
      <c r="P105" s="50" t="str" cm="1">
        <f t="array" ref="P105">_xlfn.IFS(P104&gt;= 70,"A",P104&gt;=60,"B",P104&gt;=50,"C",P104&gt;=45,"D",P104&gt;=40,"E",P104&lt;40,"F")</f>
        <v>C</v>
      </c>
      <c r="Q105" s="50" t="str" cm="1">
        <f t="array" ref="Q105">_xlfn.IFS(Q104&gt;= 70,"A",Q104&gt;=60,"B",Q104&gt;=50,"C",Q104&gt;=45,"D",Q104&gt;=40,"E",Q104&lt;40,"F")</f>
        <v>C</v>
      </c>
      <c r="R105" s="50" t="str" cm="1">
        <f t="array" ref="R105">_xlfn.IFS(R104&gt;= 70,"A",R104&gt;=60,"B",R104&gt;=50,"C",R104&gt;=45,"D",R104&gt;=40,"E",R104&lt;40,"F")</f>
        <v>C</v>
      </c>
      <c r="S105" s="51" t="str" cm="1">
        <f t="array" ref="S105">_xlfn.IFS(S104&gt;= 70,"A",S104&gt;=60,"B",S104&gt;=50,"C",S104&gt;=45,"D",S104&gt;=40,"E",S104&lt;40,"F")</f>
        <v>C</v>
      </c>
      <c r="T105" s="50" t="str" cm="1">
        <f t="array" ref="T105">_xlfn.IFS(T104&gt;= 70,"A",T104&gt;=60,"B",T104&gt;=50,"C",T104&gt;=45,"D",T104&gt;=40,"E",T104&lt;40,"F")</f>
        <v>C</v>
      </c>
      <c r="U105" s="50" t="str" cm="1">
        <f t="array" ref="U105">_xlfn.IFS(U104&gt;= 70,"A",U104&gt;=60,"B",U104&gt;=50,"C",U104&gt;=45,"D",U104&gt;=40,"E",U104&lt;40,"F")</f>
        <v>C</v>
      </c>
      <c r="V105" s="50" t="str" cm="1">
        <f t="array" ref="V105">_xlfn.IFS(V104&gt;= 70,"A",V104&gt;=60,"B",V104&gt;=50,"C",V104&gt;=45,"D",V104&gt;=40,"E",V104&lt;40,"F")</f>
        <v>C</v>
      </c>
      <c r="W105" s="50" t="str" cm="1">
        <f t="array" ref="W105">_xlfn.IFS(W104&gt;= 70,"A",W104&gt;=60,"B",W104&gt;=50,"C",W104&gt;=45,"D",W104&gt;=40,"E",W104&lt;40,"F")</f>
        <v>C</v>
      </c>
      <c r="X105" s="7"/>
      <c r="Y105" s="7"/>
      <c r="Z105" s="7"/>
      <c r="AA105" s="7"/>
      <c r="AB105" s="7"/>
      <c r="AC105" s="7"/>
      <c r="AD105" s="7"/>
      <c r="AE105" s="7"/>
      <c r="AF105" s="7"/>
      <c r="AM105" s="56">
        <f t="shared" ref="AM105" si="193">SUMIFS($I$4:$W$4,I104:W104,"&gt;0")</f>
        <v>23</v>
      </c>
      <c r="AN105" s="47">
        <f t="shared" ref="AN105" si="194">(SUMIFS($I$4:$W$4,I104:W104,"&gt;0")-SUMIFS($I$4:$W$4,I105:W105,"F"))</f>
        <v>23</v>
      </c>
      <c r="AO105" s="56">
        <f t="shared" ref="AO105" si="195">SUMIFS($I$4:$W$4,I105:W105,"F")</f>
        <v>0</v>
      </c>
      <c r="AP105" s="76"/>
      <c r="AQ105" s="74"/>
      <c r="AR105" s="71"/>
    </row>
    <row r="106" spans="1:44" ht="15" thickTop="1" x14ac:dyDescent="0.3">
      <c r="A106" s="68">
        <v>51</v>
      </c>
      <c r="B106" s="77"/>
      <c r="C106" s="84"/>
      <c r="D106" s="84"/>
      <c r="E106" s="84"/>
      <c r="F106" s="84"/>
      <c r="G106" s="84"/>
      <c r="H106" s="84"/>
      <c r="I106" s="49">
        <v>45</v>
      </c>
      <c r="J106" s="49">
        <v>46</v>
      </c>
      <c r="K106" s="49">
        <v>47</v>
      </c>
      <c r="L106" s="49">
        <v>48</v>
      </c>
      <c r="M106" s="49">
        <v>49</v>
      </c>
      <c r="N106" s="49">
        <v>50</v>
      </c>
      <c r="O106" s="49">
        <v>51</v>
      </c>
      <c r="P106" s="49">
        <v>52</v>
      </c>
      <c r="Q106" s="49">
        <v>53</v>
      </c>
      <c r="R106" s="49">
        <v>54</v>
      </c>
      <c r="S106" s="49">
        <v>55</v>
      </c>
      <c r="T106" s="49">
        <v>56</v>
      </c>
      <c r="U106" s="49">
        <v>57</v>
      </c>
      <c r="V106" s="49">
        <v>58</v>
      </c>
      <c r="W106" s="49">
        <v>59</v>
      </c>
      <c r="X106" s="7"/>
      <c r="Y106" s="7"/>
      <c r="Z106" s="7"/>
      <c r="AA106" s="7"/>
      <c r="AB106" s="7"/>
      <c r="AC106" s="7"/>
      <c r="AD106" s="7"/>
      <c r="AE106" s="7"/>
      <c r="AF106" s="7"/>
      <c r="AM106" s="59"/>
      <c r="AN106" s="46"/>
      <c r="AO106" s="59"/>
      <c r="AP106" s="75" cm="1">
        <f t="array" ref="AP106">SUM(VLOOKUP(I107:W107,GRADEPOINT!$A$2:$B$7,2,0)*$I$4:$W$4)</f>
        <v>61</v>
      </c>
      <c r="AQ106" s="73">
        <f t="shared" ref="AQ106" si="196">ROUND(AP106/AM107,2)</f>
        <v>2.65</v>
      </c>
      <c r="AR106" s="72"/>
    </row>
    <row r="107" spans="1:44" ht="15" thickBot="1" x14ac:dyDescent="0.35">
      <c r="A107" s="69"/>
      <c r="B107" s="83"/>
      <c r="C107" s="89"/>
      <c r="D107" s="89"/>
      <c r="E107" s="89"/>
      <c r="F107" s="89"/>
      <c r="G107" s="89"/>
      <c r="H107" s="89"/>
      <c r="I107" s="50" t="str" cm="1">
        <f t="array" ref="I107">_xlfn.IFS(I106&gt;= 70,"A",I106&gt;=60,"B",I106&gt;=50,"C",I106&gt;=45,"D",I106&gt;=40,"E",I106&lt;40,"F")</f>
        <v>D</v>
      </c>
      <c r="J107" s="50" t="str" cm="1">
        <f t="array" ref="J107">_xlfn.IFS(J106&gt;= 70,"A",J106&gt;=60,"B",J106&gt;=50,"C",J106&gt;=45,"D",J106&gt;=40,"E",J106&lt;40,"F")</f>
        <v>D</v>
      </c>
      <c r="K107" s="50" t="str" cm="1">
        <f t="array" ref="K107">_xlfn.IFS(K106&gt;= 70,"A",K106&gt;=60,"B",K106&gt;=50,"C",K106&gt;=45,"D",K106&gt;=40,"E",K106&lt;40,"F")</f>
        <v>D</v>
      </c>
      <c r="L107" s="50" t="str" cm="1">
        <f t="array" ref="L107">_xlfn.IFS(L106&gt;= 70,"A",L106&gt;=60,"B",L106&gt;=50,"C",L106&gt;=45,"D",L106&gt;=40,"E",L106&lt;40,"F")</f>
        <v>D</v>
      </c>
      <c r="M107" s="50" t="str" cm="1">
        <f t="array" ref="M107">_xlfn.IFS(M106&gt;= 70,"A",M106&gt;=60,"B",M106&gt;=50,"C",M106&gt;=45,"D",M106&gt;=40,"E",M106&lt;40,"F")</f>
        <v>D</v>
      </c>
      <c r="N107" s="50" t="str" cm="1">
        <f t="array" ref="N107">_xlfn.IFS(N106&gt;= 70,"A",N106&gt;=60,"B",N106&gt;=50,"C",N106&gt;=45,"D",N106&gt;=40,"E",N106&lt;40,"F")</f>
        <v>C</v>
      </c>
      <c r="O107" s="51" t="str" cm="1">
        <f t="array" ref="O107">_xlfn.IFS(O106&gt;= 70,"A",O106&gt;=60,"B",O106&gt;=50,"C",O106&gt;=45,"D",O106&gt;=40,"E",O106&lt;40,"F")</f>
        <v>C</v>
      </c>
      <c r="P107" s="50" t="str" cm="1">
        <f t="array" ref="P107">_xlfn.IFS(P106&gt;= 70,"A",P106&gt;=60,"B",P106&gt;=50,"C",P106&gt;=45,"D",P106&gt;=40,"E",P106&lt;40,"F")</f>
        <v>C</v>
      </c>
      <c r="Q107" s="50" t="str" cm="1">
        <f t="array" ref="Q107">_xlfn.IFS(Q106&gt;= 70,"A",Q106&gt;=60,"B",Q106&gt;=50,"C",Q106&gt;=45,"D",Q106&gt;=40,"E",Q106&lt;40,"F")</f>
        <v>C</v>
      </c>
      <c r="R107" s="50" t="str" cm="1">
        <f t="array" ref="R107">_xlfn.IFS(R106&gt;= 70,"A",R106&gt;=60,"B",R106&gt;=50,"C",R106&gt;=45,"D",R106&gt;=40,"E",R106&lt;40,"F")</f>
        <v>C</v>
      </c>
      <c r="S107" s="51" t="str" cm="1">
        <f t="array" ref="S107">_xlfn.IFS(S106&gt;= 70,"A",S106&gt;=60,"B",S106&gt;=50,"C",S106&gt;=45,"D",S106&gt;=40,"E",S106&lt;40,"F")</f>
        <v>C</v>
      </c>
      <c r="T107" s="50" t="str" cm="1">
        <f t="array" ref="T107">_xlfn.IFS(T106&gt;= 70,"A",T106&gt;=60,"B",T106&gt;=50,"C",T106&gt;=45,"D",T106&gt;=40,"E",T106&lt;40,"F")</f>
        <v>C</v>
      </c>
      <c r="U107" s="50" t="str" cm="1">
        <f t="array" ref="U107">_xlfn.IFS(U106&gt;= 70,"A",U106&gt;=60,"B",U106&gt;=50,"C",U106&gt;=45,"D",U106&gt;=40,"E",U106&lt;40,"F")</f>
        <v>C</v>
      </c>
      <c r="V107" s="50" t="str" cm="1">
        <f t="array" ref="V107">_xlfn.IFS(V106&gt;= 70,"A",V106&gt;=60,"B",V106&gt;=50,"C",V106&gt;=45,"D",V106&gt;=40,"E",V106&lt;40,"F")</f>
        <v>C</v>
      </c>
      <c r="W107" s="50" t="str" cm="1">
        <f t="array" ref="W107">_xlfn.IFS(W106&gt;= 70,"A",W106&gt;=60,"B",W106&gt;=50,"C",W106&gt;=45,"D",W106&gt;=40,"E",W106&lt;40,"F")</f>
        <v>C</v>
      </c>
      <c r="X107" s="7"/>
      <c r="Y107" s="7"/>
      <c r="Z107" s="7"/>
      <c r="AA107" s="7"/>
      <c r="AB107" s="7"/>
      <c r="AC107" s="7"/>
      <c r="AD107" s="7"/>
      <c r="AE107" s="7"/>
      <c r="AF107" s="7"/>
      <c r="AM107" s="56">
        <f t="shared" ref="AM107" si="197">SUMIFS($I$4:$W$4,I106:W106,"&gt;0")</f>
        <v>23</v>
      </c>
      <c r="AN107" s="47">
        <f t="shared" ref="AN107" si="198">(SUMIFS($I$4:$W$4,I106:W106,"&gt;0")-SUMIFS($I$4:$W$4,I107:W107,"F"))</f>
        <v>23</v>
      </c>
      <c r="AO107" s="56">
        <f t="shared" ref="AO107" si="199">SUMIFS($I$4:$W$4,I107:W107,"F")</f>
        <v>0</v>
      </c>
      <c r="AP107" s="76"/>
      <c r="AQ107" s="74"/>
      <c r="AR107" s="71"/>
    </row>
    <row r="108" spans="1:44" ht="15" thickTop="1" x14ac:dyDescent="0.3">
      <c r="A108" s="68">
        <v>52</v>
      </c>
      <c r="B108" s="77"/>
      <c r="C108" s="84"/>
      <c r="D108" s="84"/>
      <c r="E108" s="84"/>
      <c r="F108" s="84"/>
      <c r="G108" s="84"/>
      <c r="H108" s="84"/>
      <c r="I108" s="49">
        <v>45</v>
      </c>
      <c r="J108" s="49">
        <v>46</v>
      </c>
      <c r="K108" s="49">
        <v>47</v>
      </c>
      <c r="L108" s="49">
        <v>48</v>
      </c>
      <c r="M108" s="49">
        <v>49</v>
      </c>
      <c r="N108" s="49">
        <v>50</v>
      </c>
      <c r="O108" s="49">
        <v>51</v>
      </c>
      <c r="P108" s="49">
        <v>52</v>
      </c>
      <c r="Q108" s="49">
        <v>53</v>
      </c>
      <c r="R108" s="49">
        <v>54</v>
      </c>
      <c r="S108" s="49">
        <v>55</v>
      </c>
      <c r="T108" s="49">
        <v>56</v>
      </c>
      <c r="U108" s="49">
        <v>57</v>
      </c>
      <c r="V108" s="49">
        <v>58</v>
      </c>
      <c r="W108" s="49">
        <v>59</v>
      </c>
      <c r="X108" s="7"/>
      <c r="Y108" s="7"/>
      <c r="Z108" s="7"/>
      <c r="AA108" s="7"/>
      <c r="AB108" s="7"/>
      <c r="AC108" s="7"/>
      <c r="AD108" s="7"/>
      <c r="AE108" s="7"/>
      <c r="AF108" s="7"/>
      <c r="AM108" s="59"/>
      <c r="AN108" s="46"/>
      <c r="AO108" s="59"/>
      <c r="AP108" s="75" cm="1">
        <f t="array" ref="AP108">SUM(VLOOKUP(I109:W109,GRADEPOINT!$A$2:$B$7,2,0)*$I$4:$W$4)</f>
        <v>61</v>
      </c>
      <c r="AQ108" s="73">
        <f t="shared" ref="AQ108" si="200">ROUND(AP108/AM109,2)</f>
        <v>2.65</v>
      </c>
      <c r="AR108" s="72"/>
    </row>
    <row r="109" spans="1:44" ht="15" thickBot="1" x14ac:dyDescent="0.35">
      <c r="A109" s="69"/>
      <c r="B109" s="83"/>
      <c r="C109" s="89"/>
      <c r="D109" s="89"/>
      <c r="E109" s="89"/>
      <c r="F109" s="89"/>
      <c r="G109" s="89"/>
      <c r="H109" s="89"/>
      <c r="I109" s="50" t="str" cm="1">
        <f t="array" ref="I109">_xlfn.IFS(I108&gt;= 70,"A",I108&gt;=60,"B",I108&gt;=50,"C",I108&gt;=45,"D",I108&gt;=40,"E",I108&lt;40,"F")</f>
        <v>D</v>
      </c>
      <c r="J109" s="50" t="str" cm="1">
        <f t="array" ref="J109">_xlfn.IFS(J108&gt;= 70,"A",J108&gt;=60,"B",J108&gt;=50,"C",J108&gt;=45,"D",J108&gt;=40,"E",J108&lt;40,"F")</f>
        <v>D</v>
      </c>
      <c r="K109" s="50" t="str" cm="1">
        <f t="array" ref="K109">_xlfn.IFS(K108&gt;= 70,"A",K108&gt;=60,"B",K108&gt;=50,"C",K108&gt;=45,"D",K108&gt;=40,"E",K108&lt;40,"F")</f>
        <v>D</v>
      </c>
      <c r="L109" s="50" t="str" cm="1">
        <f t="array" ref="L109">_xlfn.IFS(L108&gt;= 70,"A",L108&gt;=60,"B",L108&gt;=50,"C",L108&gt;=45,"D",L108&gt;=40,"E",L108&lt;40,"F")</f>
        <v>D</v>
      </c>
      <c r="M109" s="50" t="str" cm="1">
        <f t="array" ref="M109">_xlfn.IFS(M108&gt;= 70,"A",M108&gt;=60,"B",M108&gt;=50,"C",M108&gt;=45,"D",M108&gt;=40,"E",M108&lt;40,"F")</f>
        <v>D</v>
      </c>
      <c r="N109" s="50" t="str" cm="1">
        <f t="array" ref="N109">_xlfn.IFS(N108&gt;= 70,"A",N108&gt;=60,"B",N108&gt;=50,"C",N108&gt;=45,"D",N108&gt;=40,"E",N108&lt;40,"F")</f>
        <v>C</v>
      </c>
      <c r="O109" s="51" t="str" cm="1">
        <f t="array" ref="O109">_xlfn.IFS(O108&gt;= 70,"A",O108&gt;=60,"B",O108&gt;=50,"C",O108&gt;=45,"D",O108&gt;=40,"E",O108&lt;40,"F")</f>
        <v>C</v>
      </c>
      <c r="P109" s="50" t="str" cm="1">
        <f t="array" ref="P109">_xlfn.IFS(P108&gt;= 70,"A",P108&gt;=60,"B",P108&gt;=50,"C",P108&gt;=45,"D",P108&gt;=40,"E",P108&lt;40,"F")</f>
        <v>C</v>
      </c>
      <c r="Q109" s="50" t="str" cm="1">
        <f t="array" ref="Q109">_xlfn.IFS(Q108&gt;= 70,"A",Q108&gt;=60,"B",Q108&gt;=50,"C",Q108&gt;=45,"D",Q108&gt;=40,"E",Q108&lt;40,"F")</f>
        <v>C</v>
      </c>
      <c r="R109" s="50" t="str" cm="1">
        <f t="array" ref="R109">_xlfn.IFS(R108&gt;= 70,"A",R108&gt;=60,"B",R108&gt;=50,"C",R108&gt;=45,"D",R108&gt;=40,"E",R108&lt;40,"F")</f>
        <v>C</v>
      </c>
      <c r="S109" s="51" t="str" cm="1">
        <f t="array" ref="S109">_xlfn.IFS(S108&gt;= 70,"A",S108&gt;=60,"B",S108&gt;=50,"C",S108&gt;=45,"D",S108&gt;=40,"E",S108&lt;40,"F")</f>
        <v>C</v>
      </c>
      <c r="T109" s="50" t="str" cm="1">
        <f t="array" ref="T109">_xlfn.IFS(T108&gt;= 70,"A",T108&gt;=60,"B",T108&gt;=50,"C",T108&gt;=45,"D",T108&gt;=40,"E",T108&lt;40,"F")</f>
        <v>C</v>
      </c>
      <c r="U109" s="50" t="str" cm="1">
        <f t="array" ref="U109">_xlfn.IFS(U108&gt;= 70,"A",U108&gt;=60,"B",U108&gt;=50,"C",U108&gt;=45,"D",U108&gt;=40,"E",U108&lt;40,"F")</f>
        <v>C</v>
      </c>
      <c r="V109" s="50" t="str" cm="1">
        <f t="array" ref="V109">_xlfn.IFS(V108&gt;= 70,"A",V108&gt;=60,"B",V108&gt;=50,"C",V108&gt;=45,"D",V108&gt;=40,"E",V108&lt;40,"F")</f>
        <v>C</v>
      </c>
      <c r="W109" s="50" t="str" cm="1">
        <f t="array" ref="W109">_xlfn.IFS(W108&gt;= 70,"A",W108&gt;=60,"B",W108&gt;=50,"C",W108&gt;=45,"D",W108&gt;=40,"E",W108&lt;40,"F")</f>
        <v>C</v>
      </c>
      <c r="X109" s="7"/>
      <c r="Y109" s="7"/>
      <c r="Z109" s="7"/>
      <c r="AA109" s="7"/>
      <c r="AB109" s="7"/>
      <c r="AC109" s="7"/>
      <c r="AD109" s="7"/>
      <c r="AE109" s="7"/>
      <c r="AF109" s="7"/>
      <c r="AM109" s="56">
        <f t="shared" ref="AM109" si="201">SUMIFS($I$4:$W$4,I108:W108,"&gt;0")</f>
        <v>23</v>
      </c>
      <c r="AN109" s="47">
        <f t="shared" ref="AN109" si="202">(SUMIFS($I$4:$W$4,I108:W108,"&gt;0")-SUMIFS($I$4:$W$4,I109:W109,"F"))</f>
        <v>23</v>
      </c>
      <c r="AO109" s="56">
        <f t="shared" ref="AO109" si="203">SUMIFS($I$4:$W$4,I109:W109,"F")</f>
        <v>0</v>
      </c>
      <c r="AP109" s="76"/>
      <c r="AQ109" s="74"/>
      <c r="AR109" s="71"/>
    </row>
    <row r="110" spans="1:44" ht="15" thickTop="1" x14ac:dyDescent="0.3">
      <c r="A110" s="68">
        <v>53</v>
      </c>
      <c r="B110" s="77"/>
      <c r="C110" s="84"/>
      <c r="D110" s="84"/>
      <c r="E110" s="84"/>
      <c r="F110" s="84"/>
      <c r="G110" s="84"/>
      <c r="H110" s="84"/>
      <c r="I110" s="49">
        <v>45</v>
      </c>
      <c r="J110" s="49">
        <v>46</v>
      </c>
      <c r="K110" s="49">
        <v>47</v>
      </c>
      <c r="L110" s="49">
        <v>48</v>
      </c>
      <c r="M110" s="49">
        <v>49</v>
      </c>
      <c r="N110" s="49">
        <v>50</v>
      </c>
      <c r="O110" s="49">
        <v>51</v>
      </c>
      <c r="P110" s="49">
        <v>52</v>
      </c>
      <c r="Q110" s="49">
        <v>53</v>
      </c>
      <c r="R110" s="49">
        <v>54</v>
      </c>
      <c r="S110" s="49">
        <v>55</v>
      </c>
      <c r="T110" s="49">
        <v>56</v>
      </c>
      <c r="U110" s="49">
        <v>57</v>
      </c>
      <c r="V110" s="49">
        <v>58</v>
      </c>
      <c r="W110" s="49">
        <v>59</v>
      </c>
      <c r="X110" s="7"/>
      <c r="Y110" s="7"/>
      <c r="Z110" s="7"/>
      <c r="AA110" s="7"/>
      <c r="AB110" s="7"/>
      <c r="AC110" s="7"/>
      <c r="AD110" s="7"/>
      <c r="AE110" s="7"/>
      <c r="AF110" s="7"/>
      <c r="AM110" s="59"/>
      <c r="AN110" s="46"/>
      <c r="AO110" s="59"/>
      <c r="AP110" s="75" cm="1">
        <f t="array" ref="AP110">SUM(VLOOKUP(I111:W111,GRADEPOINT!$A$2:$B$7,2,0)*$I$4:$W$4)</f>
        <v>61</v>
      </c>
      <c r="AQ110" s="73">
        <f t="shared" ref="AQ110" si="204">ROUND(AP110/AM111,2)</f>
        <v>2.65</v>
      </c>
      <c r="AR110" s="72"/>
    </row>
    <row r="111" spans="1:44" ht="15" thickBot="1" x14ac:dyDescent="0.35">
      <c r="A111" s="69"/>
      <c r="B111" s="83"/>
      <c r="C111" s="89"/>
      <c r="D111" s="89"/>
      <c r="E111" s="89"/>
      <c r="F111" s="89"/>
      <c r="G111" s="89"/>
      <c r="H111" s="89"/>
      <c r="I111" s="50" t="str" cm="1">
        <f t="array" ref="I111">_xlfn.IFS(I110&gt;= 70,"A",I110&gt;=60,"B",I110&gt;=50,"C",I110&gt;=45,"D",I110&gt;=40,"E",I110&lt;40,"F")</f>
        <v>D</v>
      </c>
      <c r="J111" s="50" t="str" cm="1">
        <f t="array" ref="J111">_xlfn.IFS(J110&gt;= 70,"A",J110&gt;=60,"B",J110&gt;=50,"C",J110&gt;=45,"D",J110&gt;=40,"E",J110&lt;40,"F")</f>
        <v>D</v>
      </c>
      <c r="K111" s="50" t="str" cm="1">
        <f t="array" ref="K111">_xlfn.IFS(K110&gt;= 70,"A",K110&gt;=60,"B",K110&gt;=50,"C",K110&gt;=45,"D",K110&gt;=40,"E",K110&lt;40,"F")</f>
        <v>D</v>
      </c>
      <c r="L111" s="50" t="str" cm="1">
        <f t="array" ref="L111">_xlfn.IFS(L110&gt;= 70,"A",L110&gt;=60,"B",L110&gt;=50,"C",L110&gt;=45,"D",L110&gt;=40,"E",L110&lt;40,"F")</f>
        <v>D</v>
      </c>
      <c r="M111" s="50" t="str" cm="1">
        <f t="array" ref="M111">_xlfn.IFS(M110&gt;= 70,"A",M110&gt;=60,"B",M110&gt;=50,"C",M110&gt;=45,"D",M110&gt;=40,"E",M110&lt;40,"F")</f>
        <v>D</v>
      </c>
      <c r="N111" s="50" t="str" cm="1">
        <f t="array" ref="N111">_xlfn.IFS(N110&gt;= 70,"A",N110&gt;=60,"B",N110&gt;=50,"C",N110&gt;=45,"D",N110&gt;=40,"E",N110&lt;40,"F")</f>
        <v>C</v>
      </c>
      <c r="O111" s="51" t="str" cm="1">
        <f t="array" ref="O111">_xlfn.IFS(O110&gt;= 70,"A",O110&gt;=60,"B",O110&gt;=50,"C",O110&gt;=45,"D",O110&gt;=40,"E",O110&lt;40,"F")</f>
        <v>C</v>
      </c>
      <c r="P111" s="50" t="str" cm="1">
        <f t="array" ref="P111">_xlfn.IFS(P110&gt;= 70,"A",P110&gt;=60,"B",P110&gt;=50,"C",P110&gt;=45,"D",P110&gt;=40,"E",P110&lt;40,"F")</f>
        <v>C</v>
      </c>
      <c r="Q111" s="50" t="str" cm="1">
        <f t="array" ref="Q111">_xlfn.IFS(Q110&gt;= 70,"A",Q110&gt;=60,"B",Q110&gt;=50,"C",Q110&gt;=45,"D",Q110&gt;=40,"E",Q110&lt;40,"F")</f>
        <v>C</v>
      </c>
      <c r="R111" s="50" t="str" cm="1">
        <f t="array" ref="R111">_xlfn.IFS(R110&gt;= 70,"A",R110&gt;=60,"B",R110&gt;=50,"C",R110&gt;=45,"D",R110&gt;=40,"E",R110&lt;40,"F")</f>
        <v>C</v>
      </c>
      <c r="S111" s="51" t="str" cm="1">
        <f t="array" ref="S111">_xlfn.IFS(S110&gt;= 70,"A",S110&gt;=60,"B",S110&gt;=50,"C",S110&gt;=45,"D",S110&gt;=40,"E",S110&lt;40,"F")</f>
        <v>C</v>
      </c>
      <c r="T111" s="50" t="str" cm="1">
        <f t="array" ref="T111">_xlfn.IFS(T110&gt;= 70,"A",T110&gt;=60,"B",T110&gt;=50,"C",T110&gt;=45,"D",T110&gt;=40,"E",T110&lt;40,"F")</f>
        <v>C</v>
      </c>
      <c r="U111" s="50" t="str" cm="1">
        <f t="array" ref="U111">_xlfn.IFS(U110&gt;= 70,"A",U110&gt;=60,"B",U110&gt;=50,"C",U110&gt;=45,"D",U110&gt;=40,"E",U110&lt;40,"F")</f>
        <v>C</v>
      </c>
      <c r="V111" s="50" t="str" cm="1">
        <f t="array" ref="V111">_xlfn.IFS(V110&gt;= 70,"A",V110&gt;=60,"B",V110&gt;=50,"C",V110&gt;=45,"D",V110&gt;=40,"E",V110&lt;40,"F")</f>
        <v>C</v>
      </c>
      <c r="W111" s="50" t="str" cm="1">
        <f t="array" ref="W111">_xlfn.IFS(W110&gt;= 70,"A",W110&gt;=60,"B",W110&gt;=50,"C",W110&gt;=45,"D",W110&gt;=40,"E",W110&lt;40,"F")</f>
        <v>C</v>
      </c>
      <c r="X111" s="7"/>
      <c r="Y111" s="7"/>
      <c r="Z111" s="7"/>
      <c r="AA111" s="7"/>
      <c r="AB111" s="7"/>
      <c r="AC111" s="7"/>
      <c r="AD111" s="7"/>
      <c r="AE111" s="7"/>
      <c r="AF111" s="7"/>
      <c r="AM111" s="56">
        <f t="shared" ref="AM111" si="205">SUMIFS($I$4:$W$4,I110:W110,"&gt;0")</f>
        <v>23</v>
      </c>
      <c r="AN111" s="47">
        <f t="shared" ref="AN111" si="206">(SUMIFS($I$4:$W$4,I110:W110,"&gt;0")-SUMIFS($I$4:$W$4,I111:W111,"F"))</f>
        <v>23</v>
      </c>
      <c r="AO111" s="56">
        <f t="shared" ref="AO111" si="207">SUMIFS($I$4:$W$4,I111:W111,"F")</f>
        <v>0</v>
      </c>
      <c r="AP111" s="76"/>
      <c r="AQ111" s="74"/>
      <c r="AR111" s="71"/>
    </row>
    <row r="112" spans="1:44" ht="15" thickTop="1" x14ac:dyDescent="0.3">
      <c r="A112" s="68">
        <v>54</v>
      </c>
      <c r="B112" s="77"/>
      <c r="C112" s="84"/>
      <c r="D112" s="84"/>
      <c r="E112" s="84"/>
      <c r="F112" s="84"/>
      <c r="G112" s="84"/>
      <c r="H112" s="84"/>
      <c r="I112" s="49">
        <v>45</v>
      </c>
      <c r="J112" s="49">
        <v>46</v>
      </c>
      <c r="K112" s="49">
        <v>47</v>
      </c>
      <c r="L112" s="49">
        <v>48</v>
      </c>
      <c r="M112" s="49">
        <v>49</v>
      </c>
      <c r="N112" s="49">
        <v>50</v>
      </c>
      <c r="O112" s="49">
        <v>51</v>
      </c>
      <c r="P112" s="49">
        <v>52</v>
      </c>
      <c r="Q112" s="49">
        <v>53</v>
      </c>
      <c r="R112" s="49">
        <v>54</v>
      </c>
      <c r="S112" s="49">
        <v>55</v>
      </c>
      <c r="T112" s="49">
        <v>56</v>
      </c>
      <c r="U112" s="49">
        <v>57</v>
      </c>
      <c r="V112" s="49">
        <v>58</v>
      </c>
      <c r="W112" s="49">
        <v>59</v>
      </c>
      <c r="X112" s="7"/>
      <c r="Y112" s="7"/>
      <c r="Z112" s="7"/>
      <c r="AA112" s="7"/>
      <c r="AB112" s="7"/>
      <c r="AC112" s="7"/>
      <c r="AD112" s="7"/>
      <c r="AE112" s="7"/>
      <c r="AF112" s="7"/>
      <c r="AM112" s="59"/>
      <c r="AN112" s="46"/>
      <c r="AO112" s="59"/>
      <c r="AP112" s="75" cm="1">
        <f t="array" ref="AP112">SUM(VLOOKUP(I113:W113,GRADEPOINT!$A$2:$B$7,2,0)*$I$4:$W$4)</f>
        <v>61</v>
      </c>
      <c r="AQ112" s="73">
        <f t="shared" ref="AQ112" si="208">ROUND(AP112/AM113,2)</f>
        <v>2.65</v>
      </c>
      <c r="AR112" s="72"/>
    </row>
    <row r="113" spans="1:44" ht="15" thickBot="1" x14ac:dyDescent="0.35">
      <c r="A113" s="69"/>
      <c r="B113" s="83"/>
      <c r="C113" s="89"/>
      <c r="D113" s="89"/>
      <c r="E113" s="89"/>
      <c r="F113" s="89"/>
      <c r="G113" s="89"/>
      <c r="H113" s="89"/>
      <c r="I113" s="50" t="str" cm="1">
        <f t="array" ref="I113">_xlfn.IFS(I112&gt;= 70,"A",I112&gt;=60,"B",I112&gt;=50,"C",I112&gt;=45,"D",I112&gt;=40,"E",I112&lt;40,"F")</f>
        <v>D</v>
      </c>
      <c r="J113" s="50" t="str" cm="1">
        <f t="array" ref="J113">_xlfn.IFS(J112&gt;= 70,"A",J112&gt;=60,"B",J112&gt;=50,"C",J112&gt;=45,"D",J112&gt;=40,"E",J112&lt;40,"F")</f>
        <v>D</v>
      </c>
      <c r="K113" s="50" t="str" cm="1">
        <f t="array" ref="K113">_xlfn.IFS(K112&gt;= 70,"A",K112&gt;=60,"B",K112&gt;=50,"C",K112&gt;=45,"D",K112&gt;=40,"E",K112&lt;40,"F")</f>
        <v>D</v>
      </c>
      <c r="L113" s="50" t="str" cm="1">
        <f t="array" ref="L113">_xlfn.IFS(L112&gt;= 70,"A",L112&gt;=60,"B",L112&gt;=50,"C",L112&gt;=45,"D",L112&gt;=40,"E",L112&lt;40,"F")</f>
        <v>D</v>
      </c>
      <c r="M113" s="50" t="str" cm="1">
        <f t="array" ref="M113">_xlfn.IFS(M112&gt;= 70,"A",M112&gt;=60,"B",M112&gt;=50,"C",M112&gt;=45,"D",M112&gt;=40,"E",M112&lt;40,"F")</f>
        <v>D</v>
      </c>
      <c r="N113" s="50" t="str" cm="1">
        <f t="array" ref="N113">_xlfn.IFS(N112&gt;= 70,"A",N112&gt;=60,"B",N112&gt;=50,"C",N112&gt;=45,"D",N112&gt;=40,"E",N112&lt;40,"F")</f>
        <v>C</v>
      </c>
      <c r="O113" s="51" t="str" cm="1">
        <f t="array" ref="O113">_xlfn.IFS(O112&gt;= 70,"A",O112&gt;=60,"B",O112&gt;=50,"C",O112&gt;=45,"D",O112&gt;=40,"E",O112&lt;40,"F")</f>
        <v>C</v>
      </c>
      <c r="P113" s="50" t="str" cm="1">
        <f t="array" ref="P113">_xlfn.IFS(P112&gt;= 70,"A",P112&gt;=60,"B",P112&gt;=50,"C",P112&gt;=45,"D",P112&gt;=40,"E",P112&lt;40,"F")</f>
        <v>C</v>
      </c>
      <c r="Q113" s="50" t="str" cm="1">
        <f t="array" ref="Q113">_xlfn.IFS(Q112&gt;= 70,"A",Q112&gt;=60,"B",Q112&gt;=50,"C",Q112&gt;=45,"D",Q112&gt;=40,"E",Q112&lt;40,"F")</f>
        <v>C</v>
      </c>
      <c r="R113" s="50" t="str" cm="1">
        <f t="array" ref="R113">_xlfn.IFS(R112&gt;= 70,"A",R112&gt;=60,"B",R112&gt;=50,"C",R112&gt;=45,"D",R112&gt;=40,"E",R112&lt;40,"F")</f>
        <v>C</v>
      </c>
      <c r="S113" s="51" t="str" cm="1">
        <f t="array" ref="S113">_xlfn.IFS(S112&gt;= 70,"A",S112&gt;=60,"B",S112&gt;=50,"C",S112&gt;=45,"D",S112&gt;=40,"E",S112&lt;40,"F")</f>
        <v>C</v>
      </c>
      <c r="T113" s="50" t="str" cm="1">
        <f t="array" ref="T113">_xlfn.IFS(T112&gt;= 70,"A",T112&gt;=60,"B",T112&gt;=50,"C",T112&gt;=45,"D",T112&gt;=40,"E",T112&lt;40,"F")</f>
        <v>C</v>
      </c>
      <c r="U113" s="50" t="str" cm="1">
        <f t="array" ref="U113">_xlfn.IFS(U112&gt;= 70,"A",U112&gt;=60,"B",U112&gt;=50,"C",U112&gt;=45,"D",U112&gt;=40,"E",U112&lt;40,"F")</f>
        <v>C</v>
      </c>
      <c r="V113" s="50" t="str" cm="1">
        <f t="array" ref="V113">_xlfn.IFS(V112&gt;= 70,"A",V112&gt;=60,"B",V112&gt;=50,"C",V112&gt;=45,"D",V112&gt;=40,"E",V112&lt;40,"F")</f>
        <v>C</v>
      </c>
      <c r="W113" s="50" t="str" cm="1">
        <f t="array" ref="W113">_xlfn.IFS(W112&gt;= 70,"A",W112&gt;=60,"B",W112&gt;=50,"C",W112&gt;=45,"D",W112&gt;=40,"E",W112&lt;40,"F")</f>
        <v>C</v>
      </c>
      <c r="X113" s="7"/>
      <c r="Y113" s="7"/>
      <c r="Z113" s="7"/>
      <c r="AA113" s="7"/>
      <c r="AB113" s="7"/>
      <c r="AC113" s="7"/>
      <c r="AD113" s="7"/>
      <c r="AE113" s="7"/>
      <c r="AF113" s="7"/>
      <c r="AM113" s="56">
        <f t="shared" ref="AM113" si="209">SUMIFS($I$4:$W$4,I112:W112,"&gt;0")</f>
        <v>23</v>
      </c>
      <c r="AN113" s="47">
        <f t="shared" ref="AN113" si="210">(SUMIFS($I$4:$W$4,I112:W112,"&gt;0")-SUMIFS($I$4:$W$4,I113:W113,"F"))</f>
        <v>23</v>
      </c>
      <c r="AO113" s="56">
        <f t="shared" ref="AO113" si="211">SUMIFS($I$4:$W$4,I113:W113,"F")</f>
        <v>0</v>
      </c>
      <c r="AP113" s="76"/>
      <c r="AQ113" s="74"/>
      <c r="AR113" s="71"/>
    </row>
    <row r="114" spans="1:44" ht="15" thickTop="1" x14ac:dyDescent="0.3">
      <c r="A114" s="68">
        <v>55</v>
      </c>
      <c r="B114" s="77"/>
      <c r="C114" s="84"/>
      <c r="D114" s="84"/>
      <c r="E114" s="84"/>
      <c r="F114" s="84"/>
      <c r="G114" s="84"/>
      <c r="H114" s="84"/>
      <c r="I114" s="49">
        <v>45</v>
      </c>
      <c r="J114" s="49">
        <v>46</v>
      </c>
      <c r="K114" s="49">
        <v>47</v>
      </c>
      <c r="L114" s="49">
        <v>48</v>
      </c>
      <c r="M114" s="49">
        <v>49</v>
      </c>
      <c r="N114" s="49">
        <v>50</v>
      </c>
      <c r="O114" s="49">
        <v>51</v>
      </c>
      <c r="P114" s="49">
        <v>52</v>
      </c>
      <c r="Q114" s="49">
        <v>53</v>
      </c>
      <c r="R114" s="49">
        <v>54</v>
      </c>
      <c r="S114" s="49">
        <v>55</v>
      </c>
      <c r="T114" s="49">
        <v>56</v>
      </c>
      <c r="U114" s="49">
        <v>57</v>
      </c>
      <c r="V114" s="49">
        <v>58</v>
      </c>
      <c r="W114" s="49">
        <v>59</v>
      </c>
      <c r="X114" s="7"/>
      <c r="Y114" s="7"/>
      <c r="Z114" s="7"/>
      <c r="AA114" s="7"/>
      <c r="AB114" s="7"/>
      <c r="AC114" s="7"/>
      <c r="AD114" s="7"/>
      <c r="AE114" s="7"/>
      <c r="AF114" s="7"/>
      <c r="AM114" s="59"/>
      <c r="AN114" s="46"/>
      <c r="AO114" s="59"/>
      <c r="AP114" s="75" cm="1">
        <f t="array" ref="AP114">SUM(VLOOKUP(I115:W115,GRADEPOINT!$A$2:$B$7,2,0)*$I$4:$W$4)</f>
        <v>61</v>
      </c>
      <c r="AQ114" s="73">
        <f t="shared" ref="AQ114" si="212">ROUND(AP114/AM115,2)</f>
        <v>2.65</v>
      </c>
      <c r="AR114" s="72"/>
    </row>
    <row r="115" spans="1:44" ht="15" thickBot="1" x14ac:dyDescent="0.35">
      <c r="A115" s="69"/>
      <c r="B115" s="83"/>
      <c r="C115" s="89"/>
      <c r="D115" s="89"/>
      <c r="E115" s="89"/>
      <c r="F115" s="89"/>
      <c r="G115" s="89"/>
      <c r="H115" s="89"/>
      <c r="I115" s="50" t="str" cm="1">
        <f t="array" ref="I115">_xlfn.IFS(I114&gt;= 70,"A",I114&gt;=60,"B",I114&gt;=50,"C",I114&gt;=45,"D",I114&gt;=40,"E",I114&lt;40,"F")</f>
        <v>D</v>
      </c>
      <c r="J115" s="50" t="str" cm="1">
        <f t="array" ref="J115">_xlfn.IFS(J114&gt;= 70,"A",J114&gt;=60,"B",J114&gt;=50,"C",J114&gt;=45,"D",J114&gt;=40,"E",J114&lt;40,"F")</f>
        <v>D</v>
      </c>
      <c r="K115" s="50" t="str" cm="1">
        <f t="array" ref="K115">_xlfn.IFS(K114&gt;= 70,"A",K114&gt;=60,"B",K114&gt;=50,"C",K114&gt;=45,"D",K114&gt;=40,"E",K114&lt;40,"F")</f>
        <v>D</v>
      </c>
      <c r="L115" s="50" t="str" cm="1">
        <f t="array" ref="L115">_xlfn.IFS(L114&gt;= 70,"A",L114&gt;=60,"B",L114&gt;=50,"C",L114&gt;=45,"D",L114&gt;=40,"E",L114&lt;40,"F")</f>
        <v>D</v>
      </c>
      <c r="M115" s="50" t="str" cm="1">
        <f t="array" ref="M115">_xlfn.IFS(M114&gt;= 70,"A",M114&gt;=60,"B",M114&gt;=50,"C",M114&gt;=45,"D",M114&gt;=40,"E",M114&lt;40,"F")</f>
        <v>D</v>
      </c>
      <c r="N115" s="50" t="str" cm="1">
        <f t="array" ref="N115">_xlfn.IFS(N114&gt;= 70,"A",N114&gt;=60,"B",N114&gt;=50,"C",N114&gt;=45,"D",N114&gt;=40,"E",N114&lt;40,"F")</f>
        <v>C</v>
      </c>
      <c r="O115" s="51" t="str" cm="1">
        <f t="array" ref="O115">_xlfn.IFS(O114&gt;= 70,"A",O114&gt;=60,"B",O114&gt;=50,"C",O114&gt;=45,"D",O114&gt;=40,"E",O114&lt;40,"F")</f>
        <v>C</v>
      </c>
      <c r="P115" s="50" t="str" cm="1">
        <f t="array" ref="P115">_xlfn.IFS(P114&gt;= 70,"A",P114&gt;=60,"B",P114&gt;=50,"C",P114&gt;=45,"D",P114&gt;=40,"E",P114&lt;40,"F")</f>
        <v>C</v>
      </c>
      <c r="Q115" s="50" t="str" cm="1">
        <f t="array" ref="Q115">_xlfn.IFS(Q114&gt;= 70,"A",Q114&gt;=60,"B",Q114&gt;=50,"C",Q114&gt;=45,"D",Q114&gt;=40,"E",Q114&lt;40,"F")</f>
        <v>C</v>
      </c>
      <c r="R115" s="50" t="str" cm="1">
        <f t="array" ref="R115">_xlfn.IFS(R114&gt;= 70,"A",R114&gt;=60,"B",R114&gt;=50,"C",R114&gt;=45,"D",R114&gt;=40,"E",R114&lt;40,"F")</f>
        <v>C</v>
      </c>
      <c r="S115" s="51" t="str" cm="1">
        <f t="array" ref="S115">_xlfn.IFS(S114&gt;= 70,"A",S114&gt;=60,"B",S114&gt;=50,"C",S114&gt;=45,"D",S114&gt;=40,"E",S114&lt;40,"F")</f>
        <v>C</v>
      </c>
      <c r="T115" s="50" t="str" cm="1">
        <f t="array" ref="T115">_xlfn.IFS(T114&gt;= 70,"A",T114&gt;=60,"B",T114&gt;=50,"C",T114&gt;=45,"D",T114&gt;=40,"E",T114&lt;40,"F")</f>
        <v>C</v>
      </c>
      <c r="U115" s="50" t="str" cm="1">
        <f t="array" ref="U115">_xlfn.IFS(U114&gt;= 70,"A",U114&gt;=60,"B",U114&gt;=50,"C",U114&gt;=45,"D",U114&gt;=40,"E",U114&lt;40,"F")</f>
        <v>C</v>
      </c>
      <c r="V115" s="50" t="str" cm="1">
        <f t="array" ref="V115">_xlfn.IFS(V114&gt;= 70,"A",V114&gt;=60,"B",V114&gt;=50,"C",V114&gt;=45,"D",V114&gt;=40,"E",V114&lt;40,"F")</f>
        <v>C</v>
      </c>
      <c r="W115" s="50" t="str" cm="1">
        <f t="array" ref="W115">_xlfn.IFS(W114&gt;= 70,"A",W114&gt;=60,"B",W114&gt;=50,"C",W114&gt;=45,"D",W114&gt;=40,"E",W114&lt;40,"F")</f>
        <v>C</v>
      </c>
      <c r="X115" s="7"/>
      <c r="Y115" s="7"/>
      <c r="Z115" s="7"/>
      <c r="AA115" s="7"/>
      <c r="AB115" s="7"/>
      <c r="AC115" s="7"/>
      <c r="AD115" s="7"/>
      <c r="AE115" s="7"/>
      <c r="AF115" s="7"/>
      <c r="AM115" s="56">
        <f t="shared" ref="AM115" si="213">SUMIFS($I$4:$W$4,I114:W114,"&gt;0")</f>
        <v>23</v>
      </c>
      <c r="AN115" s="47">
        <f t="shared" ref="AN115" si="214">(SUMIFS($I$4:$W$4,I114:W114,"&gt;0")-SUMIFS($I$4:$W$4,I115:W115,"F"))</f>
        <v>23</v>
      </c>
      <c r="AO115" s="56">
        <f t="shared" ref="AO115" si="215">SUMIFS($I$4:$W$4,I115:W115,"F")</f>
        <v>0</v>
      </c>
      <c r="AP115" s="76"/>
      <c r="AQ115" s="74"/>
      <c r="AR115" s="71"/>
    </row>
    <row r="116" spans="1:44" ht="15" thickTop="1" x14ac:dyDescent="0.3">
      <c r="A116" s="68">
        <v>56</v>
      </c>
      <c r="B116" s="77"/>
      <c r="C116" s="84"/>
      <c r="D116" s="84"/>
      <c r="E116" s="84"/>
      <c r="F116" s="84"/>
      <c r="G116" s="84"/>
      <c r="H116" s="84"/>
      <c r="I116" s="49">
        <v>45</v>
      </c>
      <c r="J116" s="49">
        <v>46</v>
      </c>
      <c r="K116" s="49">
        <v>47</v>
      </c>
      <c r="L116" s="49">
        <v>48</v>
      </c>
      <c r="M116" s="49">
        <v>49</v>
      </c>
      <c r="N116" s="49">
        <v>50</v>
      </c>
      <c r="O116" s="49">
        <v>51</v>
      </c>
      <c r="P116" s="49">
        <v>52</v>
      </c>
      <c r="Q116" s="49">
        <v>53</v>
      </c>
      <c r="R116" s="49">
        <v>54</v>
      </c>
      <c r="S116" s="49">
        <v>55</v>
      </c>
      <c r="T116" s="49">
        <v>56</v>
      </c>
      <c r="U116" s="49">
        <v>57</v>
      </c>
      <c r="V116" s="49">
        <v>58</v>
      </c>
      <c r="W116" s="49">
        <v>59</v>
      </c>
      <c r="X116" s="7"/>
      <c r="Y116" s="7"/>
      <c r="Z116" s="7"/>
      <c r="AA116" s="7"/>
      <c r="AB116" s="7"/>
      <c r="AC116" s="7"/>
      <c r="AD116" s="7"/>
      <c r="AE116" s="7"/>
      <c r="AF116" s="7"/>
      <c r="AM116" s="59"/>
      <c r="AN116" s="46"/>
      <c r="AO116" s="59"/>
      <c r="AP116" s="75" cm="1">
        <f t="array" ref="AP116">SUM(VLOOKUP(I117:W117,GRADEPOINT!$A$2:$B$7,2,0)*$I$4:$W$4)</f>
        <v>61</v>
      </c>
      <c r="AQ116" s="73">
        <f t="shared" ref="AQ116" si="216">ROUND(AP116/AM117,2)</f>
        <v>2.65</v>
      </c>
      <c r="AR116" s="72"/>
    </row>
    <row r="117" spans="1:44" ht="15" thickBot="1" x14ac:dyDescent="0.35">
      <c r="A117" s="69"/>
      <c r="B117" s="83"/>
      <c r="C117" s="89"/>
      <c r="D117" s="89"/>
      <c r="E117" s="89"/>
      <c r="F117" s="89"/>
      <c r="G117" s="89"/>
      <c r="H117" s="89"/>
      <c r="I117" s="50" t="str" cm="1">
        <f t="array" ref="I117">_xlfn.IFS(I116&gt;= 70,"A",I116&gt;=60,"B",I116&gt;=50,"C",I116&gt;=45,"D",I116&gt;=40,"E",I116&lt;40,"F")</f>
        <v>D</v>
      </c>
      <c r="J117" s="50" t="str" cm="1">
        <f t="array" ref="J117">_xlfn.IFS(J116&gt;= 70,"A",J116&gt;=60,"B",J116&gt;=50,"C",J116&gt;=45,"D",J116&gt;=40,"E",J116&lt;40,"F")</f>
        <v>D</v>
      </c>
      <c r="K117" s="50" t="str" cm="1">
        <f t="array" ref="K117">_xlfn.IFS(K116&gt;= 70,"A",K116&gt;=60,"B",K116&gt;=50,"C",K116&gt;=45,"D",K116&gt;=40,"E",K116&lt;40,"F")</f>
        <v>D</v>
      </c>
      <c r="L117" s="50" t="str" cm="1">
        <f t="array" ref="L117">_xlfn.IFS(L116&gt;= 70,"A",L116&gt;=60,"B",L116&gt;=50,"C",L116&gt;=45,"D",L116&gt;=40,"E",L116&lt;40,"F")</f>
        <v>D</v>
      </c>
      <c r="M117" s="50" t="str" cm="1">
        <f t="array" ref="M117">_xlfn.IFS(M116&gt;= 70,"A",M116&gt;=60,"B",M116&gt;=50,"C",M116&gt;=45,"D",M116&gt;=40,"E",M116&lt;40,"F")</f>
        <v>D</v>
      </c>
      <c r="N117" s="50" t="str" cm="1">
        <f t="array" ref="N117">_xlfn.IFS(N116&gt;= 70,"A",N116&gt;=60,"B",N116&gt;=50,"C",N116&gt;=45,"D",N116&gt;=40,"E",N116&lt;40,"F")</f>
        <v>C</v>
      </c>
      <c r="O117" s="51" t="str" cm="1">
        <f t="array" ref="O117">_xlfn.IFS(O116&gt;= 70,"A",O116&gt;=60,"B",O116&gt;=50,"C",O116&gt;=45,"D",O116&gt;=40,"E",O116&lt;40,"F")</f>
        <v>C</v>
      </c>
      <c r="P117" s="50" t="str" cm="1">
        <f t="array" ref="P117">_xlfn.IFS(P116&gt;= 70,"A",P116&gt;=60,"B",P116&gt;=50,"C",P116&gt;=45,"D",P116&gt;=40,"E",P116&lt;40,"F")</f>
        <v>C</v>
      </c>
      <c r="Q117" s="50" t="str" cm="1">
        <f t="array" ref="Q117">_xlfn.IFS(Q116&gt;= 70,"A",Q116&gt;=60,"B",Q116&gt;=50,"C",Q116&gt;=45,"D",Q116&gt;=40,"E",Q116&lt;40,"F")</f>
        <v>C</v>
      </c>
      <c r="R117" s="50" t="str" cm="1">
        <f t="array" ref="R117">_xlfn.IFS(R116&gt;= 70,"A",R116&gt;=60,"B",R116&gt;=50,"C",R116&gt;=45,"D",R116&gt;=40,"E",R116&lt;40,"F")</f>
        <v>C</v>
      </c>
      <c r="S117" s="51" t="str" cm="1">
        <f t="array" ref="S117">_xlfn.IFS(S116&gt;= 70,"A",S116&gt;=60,"B",S116&gt;=50,"C",S116&gt;=45,"D",S116&gt;=40,"E",S116&lt;40,"F")</f>
        <v>C</v>
      </c>
      <c r="T117" s="50" t="str" cm="1">
        <f t="array" ref="T117">_xlfn.IFS(T116&gt;= 70,"A",T116&gt;=60,"B",T116&gt;=50,"C",T116&gt;=45,"D",T116&gt;=40,"E",T116&lt;40,"F")</f>
        <v>C</v>
      </c>
      <c r="U117" s="50" t="str" cm="1">
        <f t="array" ref="U117">_xlfn.IFS(U116&gt;= 70,"A",U116&gt;=60,"B",U116&gt;=50,"C",U116&gt;=45,"D",U116&gt;=40,"E",U116&lt;40,"F")</f>
        <v>C</v>
      </c>
      <c r="V117" s="50" t="str" cm="1">
        <f t="array" ref="V117">_xlfn.IFS(V116&gt;= 70,"A",V116&gt;=60,"B",V116&gt;=50,"C",V116&gt;=45,"D",V116&gt;=40,"E",V116&lt;40,"F")</f>
        <v>C</v>
      </c>
      <c r="W117" s="50" t="str" cm="1">
        <f t="array" ref="W117">_xlfn.IFS(W116&gt;= 70,"A",W116&gt;=60,"B",W116&gt;=50,"C",W116&gt;=45,"D",W116&gt;=40,"E",W116&lt;40,"F")</f>
        <v>C</v>
      </c>
      <c r="X117" s="7"/>
      <c r="Y117" s="7"/>
      <c r="Z117" s="7"/>
      <c r="AA117" s="7"/>
      <c r="AB117" s="7"/>
      <c r="AC117" s="7"/>
      <c r="AD117" s="7"/>
      <c r="AE117" s="7"/>
      <c r="AF117" s="7"/>
      <c r="AM117" s="56">
        <f t="shared" ref="AM117" si="217">SUMIFS($I$4:$W$4,I116:W116,"&gt;0")</f>
        <v>23</v>
      </c>
      <c r="AN117" s="47">
        <f t="shared" ref="AN117" si="218">(SUMIFS($I$4:$W$4,I116:W116,"&gt;0")-SUMIFS($I$4:$W$4,I117:W117,"F"))</f>
        <v>23</v>
      </c>
      <c r="AO117" s="56">
        <f t="shared" ref="AO117" si="219">SUMIFS($I$4:$W$4,I117:W117,"F")</f>
        <v>0</v>
      </c>
      <c r="AP117" s="76"/>
      <c r="AQ117" s="74"/>
      <c r="AR117" s="71"/>
    </row>
    <row r="118" spans="1:44" ht="15" thickTop="1" x14ac:dyDescent="0.3">
      <c r="A118" s="68">
        <v>57</v>
      </c>
      <c r="B118" s="77"/>
      <c r="C118" s="84"/>
      <c r="D118" s="84"/>
      <c r="E118" s="84"/>
      <c r="F118" s="84"/>
      <c r="G118" s="84"/>
      <c r="H118" s="84"/>
      <c r="I118" s="49">
        <v>45</v>
      </c>
      <c r="J118" s="49">
        <v>46</v>
      </c>
      <c r="K118" s="49">
        <v>47</v>
      </c>
      <c r="L118" s="49">
        <v>48</v>
      </c>
      <c r="M118" s="49">
        <v>49</v>
      </c>
      <c r="N118" s="49">
        <v>50</v>
      </c>
      <c r="O118" s="49">
        <v>51</v>
      </c>
      <c r="P118" s="49">
        <v>52</v>
      </c>
      <c r="Q118" s="49">
        <v>53</v>
      </c>
      <c r="R118" s="49">
        <v>54</v>
      </c>
      <c r="S118" s="49">
        <v>55</v>
      </c>
      <c r="T118" s="49">
        <v>56</v>
      </c>
      <c r="U118" s="49">
        <v>57</v>
      </c>
      <c r="V118" s="49">
        <v>58</v>
      </c>
      <c r="W118" s="49">
        <v>59</v>
      </c>
      <c r="X118" s="7"/>
      <c r="Y118" s="7"/>
      <c r="Z118" s="7"/>
      <c r="AA118" s="7"/>
      <c r="AB118" s="7"/>
      <c r="AC118" s="7"/>
      <c r="AD118" s="7"/>
      <c r="AE118" s="7"/>
      <c r="AF118" s="7"/>
      <c r="AM118" s="59"/>
      <c r="AN118" s="46"/>
      <c r="AO118" s="59"/>
      <c r="AP118" s="75" cm="1">
        <f t="array" ref="AP118">SUM(VLOOKUP(I119:W119,GRADEPOINT!$A$2:$B$7,2,0)*$I$4:$W$4)</f>
        <v>61</v>
      </c>
      <c r="AQ118" s="73">
        <f t="shared" ref="AQ118" si="220">ROUND(AP118/AM119,2)</f>
        <v>2.65</v>
      </c>
      <c r="AR118" s="72"/>
    </row>
    <row r="119" spans="1:44" ht="15" thickBot="1" x14ac:dyDescent="0.35">
      <c r="A119" s="69"/>
      <c r="B119" s="83"/>
      <c r="C119" s="89"/>
      <c r="D119" s="89"/>
      <c r="E119" s="89"/>
      <c r="F119" s="89"/>
      <c r="G119" s="89"/>
      <c r="H119" s="89"/>
      <c r="I119" s="50" t="str" cm="1">
        <f t="array" ref="I119">_xlfn.IFS(I118&gt;= 70,"A",I118&gt;=60,"B",I118&gt;=50,"C",I118&gt;=45,"D",I118&gt;=40,"E",I118&lt;40,"F")</f>
        <v>D</v>
      </c>
      <c r="J119" s="50" t="str" cm="1">
        <f t="array" ref="J119">_xlfn.IFS(J118&gt;= 70,"A",J118&gt;=60,"B",J118&gt;=50,"C",J118&gt;=45,"D",J118&gt;=40,"E",J118&lt;40,"F")</f>
        <v>D</v>
      </c>
      <c r="K119" s="50" t="str" cm="1">
        <f t="array" ref="K119">_xlfn.IFS(K118&gt;= 70,"A",K118&gt;=60,"B",K118&gt;=50,"C",K118&gt;=45,"D",K118&gt;=40,"E",K118&lt;40,"F")</f>
        <v>D</v>
      </c>
      <c r="L119" s="50" t="str" cm="1">
        <f t="array" ref="L119">_xlfn.IFS(L118&gt;= 70,"A",L118&gt;=60,"B",L118&gt;=50,"C",L118&gt;=45,"D",L118&gt;=40,"E",L118&lt;40,"F")</f>
        <v>D</v>
      </c>
      <c r="M119" s="50" t="str" cm="1">
        <f t="array" ref="M119">_xlfn.IFS(M118&gt;= 70,"A",M118&gt;=60,"B",M118&gt;=50,"C",M118&gt;=45,"D",M118&gt;=40,"E",M118&lt;40,"F")</f>
        <v>D</v>
      </c>
      <c r="N119" s="50" t="str" cm="1">
        <f t="array" ref="N119">_xlfn.IFS(N118&gt;= 70,"A",N118&gt;=60,"B",N118&gt;=50,"C",N118&gt;=45,"D",N118&gt;=40,"E",N118&lt;40,"F")</f>
        <v>C</v>
      </c>
      <c r="O119" s="51" t="str" cm="1">
        <f t="array" ref="O119">_xlfn.IFS(O118&gt;= 70,"A",O118&gt;=60,"B",O118&gt;=50,"C",O118&gt;=45,"D",O118&gt;=40,"E",O118&lt;40,"F")</f>
        <v>C</v>
      </c>
      <c r="P119" s="50" t="str" cm="1">
        <f t="array" ref="P119">_xlfn.IFS(P118&gt;= 70,"A",P118&gt;=60,"B",P118&gt;=50,"C",P118&gt;=45,"D",P118&gt;=40,"E",P118&lt;40,"F")</f>
        <v>C</v>
      </c>
      <c r="Q119" s="50" t="str" cm="1">
        <f t="array" ref="Q119">_xlfn.IFS(Q118&gt;= 70,"A",Q118&gt;=60,"B",Q118&gt;=50,"C",Q118&gt;=45,"D",Q118&gt;=40,"E",Q118&lt;40,"F")</f>
        <v>C</v>
      </c>
      <c r="R119" s="50" t="str" cm="1">
        <f t="array" ref="R119">_xlfn.IFS(R118&gt;= 70,"A",R118&gt;=60,"B",R118&gt;=50,"C",R118&gt;=45,"D",R118&gt;=40,"E",R118&lt;40,"F")</f>
        <v>C</v>
      </c>
      <c r="S119" s="51" t="str" cm="1">
        <f t="array" ref="S119">_xlfn.IFS(S118&gt;= 70,"A",S118&gt;=60,"B",S118&gt;=50,"C",S118&gt;=45,"D",S118&gt;=40,"E",S118&lt;40,"F")</f>
        <v>C</v>
      </c>
      <c r="T119" s="50" t="str" cm="1">
        <f t="array" ref="T119">_xlfn.IFS(T118&gt;= 70,"A",T118&gt;=60,"B",T118&gt;=50,"C",T118&gt;=45,"D",T118&gt;=40,"E",T118&lt;40,"F")</f>
        <v>C</v>
      </c>
      <c r="U119" s="50" t="str" cm="1">
        <f t="array" ref="U119">_xlfn.IFS(U118&gt;= 70,"A",U118&gt;=60,"B",U118&gt;=50,"C",U118&gt;=45,"D",U118&gt;=40,"E",U118&lt;40,"F")</f>
        <v>C</v>
      </c>
      <c r="V119" s="50" t="str" cm="1">
        <f t="array" ref="V119">_xlfn.IFS(V118&gt;= 70,"A",V118&gt;=60,"B",V118&gt;=50,"C",V118&gt;=45,"D",V118&gt;=40,"E",V118&lt;40,"F")</f>
        <v>C</v>
      </c>
      <c r="W119" s="50" t="str" cm="1">
        <f t="array" ref="W119">_xlfn.IFS(W118&gt;= 70,"A",W118&gt;=60,"B",W118&gt;=50,"C",W118&gt;=45,"D",W118&gt;=40,"E",W118&lt;40,"F")</f>
        <v>C</v>
      </c>
      <c r="X119" s="7"/>
      <c r="Y119" s="7"/>
      <c r="Z119" s="7"/>
      <c r="AA119" s="7"/>
      <c r="AB119" s="7"/>
      <c r="AC119" s="7"/>
      <c r="AD119" s="7"/>
      <c r="AE119" s="7"/>
      <c r="AF119" s="7"/>
      <c r="AM119" s="56">
        <f t="shared" ref="AM119" si="221">SUMIFS($I$4:$W$4,I118:W118,"&gt;0")</f>
        <v>23</v>
      </c>
      <c r="AN119" s="47">
        <f t="shared" ref="AN119" si="222">(SUMIFS($I$4:$W$4,I118:W118,"&gt;0")-SUMIFS($I$4:$W$4,I119:W119,"F"))</f>
        <v>23</v>
      </c>
      <c r="AO119" s="56">
        <f t="shared" ref="AO119" si="223">SUMIFS($I$4:$W$4,I119:W119,"F")</f>
        <v>0</v>
      </c>
      <c r="AP119" s="76"/>
      <c r="AQ119" s="74"/>
      <c r="AR119" s="71"/>
    </row>
    <row r="120" spans="1:44" ht="15" thickTop="1" x14ac:dyDescent="0.3">
      <c r="A120" s="68">
        <v>58</v>
      </c>
      <c r="B120" s="77"/>
      <c r="C120" s="84"/>
      <c r="D120" s="84"/>
      <c r="E120" s="84"/>
      <c r="F120" s="84"/>
      <c r="G120" s="84"/>
      <c r="H120" s="84"/>
      <c r="I120" s="49">
        <v>45</v>
      </c>
      <c r="J120" s="49">
        <v>46</v>
      </c>
      <c r="K120" s="49">
        <v>47</v>
      </c>
      <c r="L120" s="49">
        <v>48</v>
      </c>
      <c r="M120" s="49">
        <v>49</v>
      </c>
      <c r="N120" s="49">
        <v>50</v>
      </c>
      <c r="O120" s="49">
        <v>51</v>
      </c>
      <c r="P120" s="49">
        <v>52</v>
      </c>
      <c r="Q120" s="49">
        <v>53</v>
      </c>
      <c r="R120" s="49">
        <v>54</v>
      </c>
      <c r="S120" s="49">
        <v>55</v>
      </c>
      <c r="T120" s="49">
        <v>56</v>
      </c>
      <c r="U120" s="49">
        <v>57</v>
      </c>
      <c r="V120" s="49">
        <v>58</v>
      </c>
      <c r="W120" s="49">
        <v>59</v>
      </c>
      <c r="X120" s="7"/>
      <c r="Y120" s="7"/>
      <c r="Z120" s="7"/>
      <c r="AA120" s="7"/>
      <c r="AB120" s="7"/>
      <c r="AC120" s="7"/>
      <c r="AD120" s="7"/>
      <c r="AE120" s="7"/>
      <c r="AF120" s="7"/>
      <c r="AM120" s="59"/>
      <c r="AN120" s="46"/>
      <c r="AO120" s="59"/>
      <c r="AP120" s="75" cm="1">
        <f t="array" ref="AP120">SUM(VLOOKUP(I121:W121,GRADEPOINT!$A$2:$B$7,2,0)*$I$4:$W$4)</f>
        <v>61</v>
      </c>
      <c r="AQ120" s="73">
        <f t="shared" ref="AQ120" si="224">ROUND(AP120/AM121,2)</f>
        <v>2.65</v>
      </c>
      <c r="AR120" s="72"/>
    </row>
    <row r="121" spans="1:44" ht="15" thickBot="1" x14ac:dyDescent="0.35">
      <c r="A121" s="69"/>
      <c r="B121" s="83"/>
      <c r="C121" s="89"/>
      <c r="D121" s="89"/>
      <c r="E121" s="89"/>
      <c r="F121" s="89"/>
      <c r="G121" s="89"/>
      <c r="H121" s="89"/>
      <c r="I121" s="50" t="str" cm="1">
        <f t="array" ref="I121">_xlfn.IFS(I120&gt;= 70,"A",I120&gt;=60,"B",I120&gt;=50,"C",I120&gt;=45,"D",I120&gt;=40,"E",I120&lt;40,"F")</f>
        <v>D</v>
      </c>
      <c r="J121" s="50" t="str" cm="1">
        <f t="array" ref="J121">_xlfn.IFS(J120&gt;= 70,"A",J120&gt;=60,"B",J120&gt;=50,"C",J120&gt;=45,"D",J120&gt;=40,"E",J120&lt;40,"F")</f>
        <v>D</v>
      </c>
      <c r="K121" s="50" t="str" cm="1">
        <f t="array" ref="K121">_xlfn.IFS(K120&gt;= 70,"A",K120&gt;=60,"B",K120&gt;=50,"C",K120&gt;=45,"D",K120&gt;=40,"E",K120&lt;40,"F")</f>
        <v>D</v>
      </c>
      <c r="L121" s="50" t="str" cm="1">
        <f t="array" ref="L121">_xlfn.IFS(L120&gt;= 70,"A",L120&gt;=60,"B",L120&gt;=50,"C",L120&gt;=45,"D",L120&gt;=40,"E",L120&lt;40,"F")</f>
        <v>D</v>
      </c>
      <c r="M121" s="50" t="str" cm="1">
        <f t="array" ref="M121">_xlfn.IFS(M120&gt;= 70,"A",M120&gt;=60,"B",M120&gt;=50,"C",M120&gt;=45,"D",M120&gt;=40,"E",M120&lt;40,"F")</f>
        <v>D</v>
      </c>
      <c r="N121" s="50" t="str" cm="1">
        <f t="array" ref="N121">_xlfn.IFS(N120&gt;= 70,"A",N120&gt;=60,"B",N120&gt;=50,"C",N120&gt;=45,"D",N120&gt;=40,"E",N120&lt;40,"F")</f>
        <v>C</v>
      </c>
      <c r="O121" s="51" t="str" cm="1">
        <f t="array" ref="O121">_xlfn.IFS(O120&gt;= 70,"A",O120&gt;=60,"B",O120&gt;=50,"C",O120&gt;=45,"D",O120&gt;=40,"E",O120&lt;40,"F")</f>
        <v>C</v>
      </c>
      <c r="P121" s="50" t="str" cm="1">
        <f t="array" ref="P121">_xlfn.IFS(P120&gt;= 70,"A",P120&gt;=60,"B",P120&gt;=50,"C",P120&gt;=45,"D",P120&gt;=40,"E",P120&lt;40,"F")</f>
        <v>C</v>
      </c>
      <c r="Q121" s="50" t="str" cm="1">
        <f t="array" ref="Q121">_xlfn.IFS(Q120&gt;= 70,"A",Q120&gt;=60,"B",Q120&gt;=50,"C",Q120&gt;=45,"D",Q120&gt;=40,"E",Q120&lt;40,"F")</f>
        <v>C</v>
      </c>
      <c r="R121" s="50" t="str" cm="1">
        <f t="array" ref="R121">_xlfn.IFS(R120&gt;= 70,"A",R120&gt;=60,"B",R120&gt;=50,"C",R120&gt;=45,"D",R120&gt;=40,"E",R120&lt;40,"F")</f>
        <v>C</v>
      </c>
      <c r="S121" s="51" t="str" cm="1">
        <f t="array" ref="S121">_xlfn.IFS(S120&gt;= 70,"A",S120&gt;=60,"B",S120&gt;=50,"C",S120&gt;=45,"D",S120&gt;=40,"E",S120&lt;40,"F")</f>
        <v>C</v>
      </c>
      <c r="T121" s="50" t="str" cm="1">
        <f t="array" ref="T121">_xlfn.IFS(T120&gt;= 70,"A",T120&gt;=60,"B",T120&gt;=50,"C",T120&gt;=45,"D",T120&gt;=40,"E",T120&lt;40,"F")</f>
        <v>C</v>
      </c>
      <c r="U121" s="50" t="str" cm="1">
        <f t="array" ref="U121">_xlfn.IFS(U120&gt;= 70,"A",U120&gt;=60,"B",U120&gt;=50,"C",U120&gt;=45,"D",U120&gt;=40,"E",U120&lt;40,"F")</f>
        <v>C</v>
      </c>
      <c r="V121" s="50" t="str" cm="1">
        <f t="array" ref="V121">_xlfn.IFS(V120&gt;= 70,"A",V120&gt;=60,"B",V120&gt;=50,"C",V120&gt;=45,"D",V120&gt;=40,"E",V120&lt;40,"F")</f>
        <v>C</v>
      </c>
      <c r="W121" s="50" t="str" cm="1">
        <f t="array" ref="W121">_xlfn.IFS(W120&gt;= 70,"A",W120&gt;=60,"B",W120&gt;=50,"C",W120&gt;=45,"D",W120&gt;=40,"E",W120&lt;40,"F")</f>
        <v>C</v>
      </c>
      <c r="X121" s="7"/>
      <c r="Y121" s="7"/>
      <c r="Z121" s="7"/>
      <c r="AA121" s="7"/>
      <c r="AB121" s="7"/>
      <c r="AC121" s="7"/>
      <c r="AD121" s="7"/>
      <c r="AE121" s="7"/>
      <c r="AF121" s="7"/>
      <c r="AM121" s="56">
        <f t="shared" ref="AM121" si="225">SUMIFS($I$4:$W$4,I120:W120,"&gt;0")</f>
        <v>23</v>
      </c>
      <c r="AN121" s="47">
        <f t="shared" ref="AN121" si="226">(SUMIFS($I$4:$W$4,I120:W120,"&gt;0")-SUMIFS($I$4:$W$4,I121:W121,"F"))</f>
        <v>23</v>
      </c>
      <c r="AO121" s="56">
        <f t="shared" ref="AO121" si="227">SUMIFS($I$4:$W$4,I121:W121,"F")</f>
        <v>0</v>
      </c>
      <c r="AP121" s="76"/>
      <c r="AQ121" s="74"/>
      <c r="AR121" s="71"/>
    </row>
    <row r="122" spans="1:44" ht="15" thickTop="1" x14ac:dyDescent="0.3">
      <c r="A122" s="68">
        <v>59</v>
      </c>
      <c r="B122" s="77"/>
      <c r="C122" s="84"/>
      <c r="D122" s="84"/>
      <c r="E122" s="84"/>
      <c r="F122" s="84"/>
      <c r="G122" s="84"/>
      <c r="H122" s="84"/>
      <c r="I122" s="49">
        <v>45</v>
      </c>
      <c r="J122" s="49">
        <v>46</v>
      </c>
      <c r="K122" s="49">
        <v>47</v>
      </c>
      <c r="L122" s="49">
        <v>48</v>
      </c>
      <c r="M122" s="49">
        <v>49</v>
      </c>
      <c r="N122" s="49">
        <v>50</v>
      </c>
      <c r="O122" s="49">
        <v>51</v>
      </c>
      <c r="P122" s="49">
        <v>52</v>
      </c>
      <c r="Q122" s="49">
        <v>53</v>
      </c>
      <c r="R122" s="49">
        <v>54</v>
      </c>
      <c r="S122" s="49">
        <v>55</v>
      </c>
      <c r="T122" s="49">
        <v>56</v>
      </c>
      <c r="U122" s="49">
        <v>57</v>
      </c>
      <c r="V122" s="49">
        <v>58</v>
      </c>
      <c r="W122" s="49">
        <v>59</v>
      </c>
      <c r="X122" s="7"/>
      <c r="Y122" s="7"/>
      <c r="Z122" s="7"/>
      <c r="AA122" s="7"/>
      <c r="AB122" s="7"/>
      <c r="AC122" s="7"/>
      <c r="AD122" s="7"/>
      <c r="AE122" s="7"/>
      <c r="AF122" s="7"/>
      <c r="AM122" s="59"/>
      <c r="AN122" s="46"/>
      <c r="AO122" s="59"/>
      <c r="AP122" s="75" cm="1">
        <f t="array" ref="AP122">SUM(VLOOKUP(I123:W123,GRADEPOINT!$A$2:$B$7,2,0)*$I$4:$W$4)</f>
        <v>61</v>
      </c>
      <c r="AQ122" s="73">
        <f t="shared" ref="AQ122" si="228">ROUND(AP122/AM123,2)</f>
        <v>2.65</v>
      </c>
      <c r="AR122" s="72"/>
    </row>
    <row r="123" spans="1:44" ht="15" thickBot="1" x14ac:dyDescent="0.35">
      <c r="A123" s="69"/>
      <c r="B123" s="83"/>
      <c r="C123" s="89"/>
      <c r="D123" s="89"/>
      <c r="E123" s="89"/>
      <c r="F123" s="89"/>
      <c r="G123" s="89"/>
      <c r="H123" s="89"/>
      <c r="I123" s="50" t="str" cm="1">
        <f t="array" ref="I123">_xlfn.IFS(I122&gt;= 70,"A",I122&gt;=60,"B",I122&gt;=50,"C",I122&gt;=45,"D",I122&gt;=40,"E",I122&lt;40,"F")</f>
        <v>D</v>
      </c>
      <c r="J123" s="50" t="str" cm="1">
        <f t="array" ref="J123">_xlfn.IFS(J122&gt;= 70,"A",J122&gt;=60,"B",J122&gt;=50,"C",J122&gt;=45,"D",J122&gt;=40,"E",J122&lt;40,"F")</f>
        <v>D</v>
      </c>
      <c r="K123" s="50" t="str" cm="1">
        <f t="array" ref="K123">_xlfn.IFS(K122&gt;= 70,"A",K122&gt;=60,"B",K122&gt;=50,"C",K122&gt;=45,"D",K122&gt;=40,"E",K122&lt;40,"F")</f>
        <v>D</v>
      </c>
      <c r="L123" s="50" t="str" cm="1">
        <f t="array" ref="L123">_xlfn.IFS(L122&gt;= 70,"A",L122&gt;=60,"B",L122&gt;=50,"C",L122&gt;=45,"D",L122&gt;=40,"E",L122&lt;40,"F")</f>
        <v>D</v>
      </c>
      <c r="M123" s="50" t="str" cm="1">
        <f t="array" ref="M123">_xlfn.IFS(M122&gt;= 70,"A",M122&gt;=60,"B",M122&gt;=50,"C",M122&gt;=45,"D",M122&gt;=40,"E",M122&lt;40,"F")</f>
        <v>D</v>
      </c>
      <c r="N123" s="50" t="str" cm="1">
        <f t="array" ref="N123">_xlfn.IFS(N122&gt;= 70,"A",N122&gt;=60,"B",N122&gt;=50,"C",N122&gt;=45,"D",N122&gt;=40,"E",N122&lt;40,"F")</f>
        <v>C</v>
      </c>
      <c r="O123" s="51" t="str" cm="1">
        <f t="array" ref="O123">_xlfn.IFS(O122&gt;= 70,"A",O122&gt;=60,"B",O122&gt;=50,"C",O122&gt;=45,"D",O122&gt;=40,"E",O122&lt;40,"F")</f>
        <v>C</v>
      </c>
      <c r="P123" s="50" t="str" cm="1">
        <f t="array" ref="P123">_xlfn.IFS(P122&gt;= 70,"A",P122&gt;=60,"B",P122&gt;=50,"C",P122&gt;=45,"D",P122&gt;=40,"E",P122&lt;40,"F")</f>
        <v>C</v>
      </c>
      <c r="Q123" s="50" t="str" cm="1">
        <f t="array" ref="Q123">_xlfn.IFS(Q122&gt;= 70,"A",Q122&gt;=60,"B",Q122&gt;=50,"C",Q122&gt;=45,"D",Q122&gt;=40,"E",Q122&lt;40,"F")</f>
        <v>C</v>
      </c>
      <c r="R123" s="50" t="str" cm="1">
        <f t="array" ref="R123">_xlfn.IFS(R122&gt;= 70,"A",R122&gt;=60,"B",R122&gt;=50,"C",R122&gt;=45,"D",R122&gt;=40,"E",R122&lt;40,"F")</f>
        <v>C</v>
      </c>
      <c r="S123" s="51" t="str" cm="1">
        <f t="array" ref="S123">_xlfn.IFS(S122&gt;= 70,"A",S122&gt;=60,"B",S122&gt;=50,"C",S122&gt;=45,"D",S122&gt;=40,"E",S122&lt;40,"F")</f>
        <v>C</v>
      </c>
      <c r="T123" s="50" t="str" cm="1">
        <f t="array" ref="T123">_xlfn.IFS(T122&gt;= 70,"A",T122&gt;=60,"B",T122&gt;=50,"C",T122&gt;=45,"D",T122&gt;=40,"E",T122&lt;40,"F")</f>
        <v>C</v>
      </c>
      <c r="U123" s="50" t="str" cm="1">
        <f t="array" ref="U123">_xlfn.IFS(U122&gt;= 70,"A",U122&gt;=60,"B",U122&gt;=50,"C",U122&gt;=45,"D",U122&gt;=40,"E",U122&lt;40,"F")</f>
        <v>C</v>
      </c>
      <c r="V123" s="50" t="str" cm="1">
        <f t="array" ref="V123">_xlfn.IFS(V122&gt;= 70,"A",V122&gt;=60,"B",V122&gt;=50,"C",V122&gt;=45,"D",V122&gt;=40,"E",V122&lt;40,"F")</f>
        <v>C</v>
      </c>
      <c r="W123" s="50" t="str" cm="1">
        <f t="array" ref="W123">_xlfn.IFS(W122&gt;= 70,"A",W122&gt;=60,"B",W122&gt;=50,"C",W122&gt;=45,"D",W122&gt;=40,"E",W122&lt;40,"F")</f>
        <v>C</v>
      </c>
      <c r="X123" s="7"/>
      <c r="Y123" s="7"/>
      <c r="Z123" s="7"/>
      <c r="AA123" s="7"/>
      <c r="AB123" s="7"/>
      <c r="AC123" s="7"/>
      <c r="AD123" s="7"/>
      <c r="AE123" s="7"/>
      <c r="AF123" s="7"/>
      <c r="AM123" s="56">
        <f t="shared" ref="AM123" si="229">SUMIFS($I$4:$W$4,I122:W122,"&gt;0")</f>
        <v>23</v>
      </c>
      <c r="AN123" s="47">
        <f t="shared" ref="AN123" si="230">(SUMIFS($I$4:$W$4,I122:W122,"&gt;0")-SUMIFS($I$4:$W$4,I123:W123,"F"))</f>
        <v>23</v>
      </c>
      <c r="AO123" s="56">
        <f t="shared" ref="AO123" si="231">SUMIFS($I$4:$W$4,I123:W123,"F")</f>
        <v>0</v>
      </c>
      <c r="AP123" s="76"/>
      <c r="AQ123" s="74"/>
      <c r="AR123" s="71"/>
    </row>
    <row r="124" spans="1:44" ht="15" thickTop="1" x14ac:dyDescent="0.3">
      <c r="A124" s="68">
        <v>60</v>
      </c>
      <c r="B124" s="77"/>
      <c r="C124" s="84"/>
      <c r="D124" s="84"/>
      <c r="E124" s="84"/>
      <c r="F124" s="84"/>
      <c r="G124" s="84"/>
      <c r="H124" s="84"/>
      <c r="I124" s="49">
        <v>45</v>
      </c>
      <c r="J124" s="49">
        <v>46</v>
      </c>
      <c r="K124" s="49">
        <v>47</v>
      </c>
      <c r="L124" s="49">
        <v>48</v>
      </c>
      <c r="M124" s="49">
        <v>49</v>
      </c>
      <c r="N124" s="49">
        <v>50</v>
      </c>
      <c r="O124" s="49">
        <v>51</v>
      </c>
      <c r="P124" s="49">
        <v>52</v>
      </c>
      <c r="Q124" s="49">
        <v>53</v>
      </c>
      <c r="R124" s="49">
        <v>54</v>
      </c>
      <c r="S124" s="49">
        <v>55</v>
      </c>
      <c r="T124" s="49">
        <v>56</v>
      </c>
      <c r="U124" s="49">
        <v>57</v>
      </c>
      <c r="V124" s="49">
        <v>58</v>
      </c>
      <c r="W124" s="49">
        <v>59</v>
      </c>
      <c r="X124" s="7"/>
      <c r="Y124" s="7"/>
      <c r="Z124" s="7"/>
      <c r="AA124" s="7"/>
      <c r="AB124" s="7"/>
      <c r="AC124" s="7"/>
      <c r="AD124" s="7"/>
      <c r="AE124" s="7"/>
      <c r="AF124" s="7"/>
      <c r="AM124" s="59"/>
      <c r="AN124" s="46"/>
      <c r="AO124" s="59"/>
      <c r="AP124" s="75" cm="1">
        <f t="array" ref="AP124">SUM(VLOOKUP(I125:W125,GRADEPOINT!$A$2:$B$7,2,0)*$I$4:$W$4)</f>
        <v>61</v>
      </c>
      <c r="AQ124" s="73">
        <f t="shared" ref="AQ124" si="232">ROUND(AP124/AM125,2)</f>
        <v>2.65</v>
      </c>
      <c r="AR124" s="72"/>
    </row>
    <row r="125" spans="1:44" ht="15" thickBot="1" x14ac:dyDescent="0.35">
      <c r="A125" s="69"/>
      <c r="B125" s="83"/>
      <c r="C125" s="89"/>
      <c r="D125" s="89"/>
      <c r="E125" s="89"/>
      <c r="F125" s="89"/>
      <c r="G125" s="89"/>
      <c r="H125" s="89"/>
      <c r="I125" s="50" t="str" cm="1">
        <f t="array" ref="I125">_xlfn.IFS(I124&gt;= 70,"A",I124&gt;=60,"B",I124&gt;=50,"C",I124&gt;=45,"D",I124&gt;=40,"E",I124&lt;40,"F")</f>
        <v>D</v>
      </c>
      <c r="J125" s="50" t="str" cm="1">
        <f t="array" ref="J125">_xlfn.IFS(J124&gt;= 70,"A",J124&gt;=60,"B",J124&gt;=50,"C",J124&gt;=45,"D",J124&gt;=40,"E",J124&lt;40,"F")</f>
        <v>D</v>
      </c>
      <c r="K125" s="50" t="str" cm="1">
        <f t="array" ref="K125">_xlfn.IFS(K124&gt;= 70,"A",K124&gt;=60,"B",K124&gt;=50,"C",K124&gt;=45,"D",K124&gt;=40,"E",K124&lt;40,"F")</f>
        <v>D</v>
      </c>
      <c r="L125" s="50" t="str" cm="1">
        <f t="array" ref="L125">_xlfn.IFS(L124&gt;= 70,"A",L124&gt;=60,"B",L124&gt;=50,"C",L124&gt;=45,"D",L124&gt;=40,"E",L124&lt;40,"F")</f>
        <v>D</v>
      </c>
      <c r="M125" s="50" t="str" cm="1">
        <f t="array" ref="M125">_xlfn.IFS(M124&gt;= 70,"A",M124&gt;=60,"B",M124&gt;=50,"C",M124&gt;=45,"D",M124&gt;=40,"E",M124&lt;40,"F")</f>
        <v>D</v>
      </c>
      <c r="N125" s="50" t="str" cm="1">
        <f t="array" ref="N125">_xlfn.IFS(N124&gt;= 70,"A",N124&gt;=60,"B",N124&gt;=50,"C",N124&gt;=45,"D",N124&gt;=40,"E",N124&lt;40,"F")</f>
        <v>C</v>
      </c>
      <c r="O125" s="51" t="str" cm="1">
        <f t="array" ref="O125">_xlfn.IFS(O124&gt;= 70,"A",O124&gt;=60,"B",O124&gt;=50,"C",O124&gt;=45,"D",O124&gt;=40,"E",O124&lt;40,"F")</f>
        <v>C</v>
      </c>
      <c r="P125" s="50" t="str" cm="1">
        <f t="array" ref="P125">_xlfn.IFS(P124&gt;= 70,"A",P124&gt;=60,"B",P124&gt;=50,"C",P124&gt;=45,"D",P124&gt;=40,"E",P124&lt;40,"F")</f>
        <v>C</v>
      </c>
      <c r="Q125" s="50" t="str" cm="1">
        <f t="array" ref="Q125">_xlfn.IFS(Q124&gt;= 70,"A",Q124&gt;=60,"B",Q124&gt;=50,"C",Q124&gt;=45,"D",Q124&gt;=40,"E",Q124&lt;40,"F")</f>
        <v>C</v>
      </c>
      <c r="R125" s="50" t="str" cm="1">
        <f t="array" ref="R125">_xlfn.IFS(R124&gt;= 70,"A",R124&gt;=60,"B",R124&gt;=50,"C",R124&gt;=45,"D",R124&gt;=40,"E",R124&lt;40,"F")</f>
        <v>C</v>
      </c>
      <c r="S125" s="51" t="str" cm="1">
        <f t="array" ref="S125">_xlfn.IFS(S124&gt;= 70,"A",S124&gt;=60,"B",S124&gt;=50,"C",S124&gt;=45,"D",S124&gt;=40,"E",S124&lt;40,"F")</f>
        <v>C</v>
      </c>
      <c r="T125" s="50" t="str" cm="1">
        <f t="array" ref="T125">_xlfn.IFS(T124&gt;= 70,"A",T124&gt;=60,"B",T124&gt;=50,"C",T124&gt;=45,"D",T124&gt;=40,"E",T124&lt;40,"F")</f>
        <v>C</v>
      </c>
      <c r="U125" s="50" t="str" cm="1">
        <f t="array" ref="U125">_xlfn.IFS(U124&gt;= 70,"A",U124&gt;=60,"B",U124&gt;=50,"C",U124&gt;=45,"D",U124&gt;=40,"E",U124&lt;40,"F")</f>
        <v>C</v>
      </c>
      <c r="V125" s="50" t="str" cm="1">
        <f t="array" ref="V125">_xlfn.IFS(V124&gt;= 70,"A",V124&gt;=60,"B",V124&gt;=50,"C",V124&gt;=45,"D",V124&gt;=40,"E",V124&lt;40,"F")</f>
        <v>C</v>
      </c>
      <c r="W125" s="50" t="str" cm="1">
        <f t="array" ref="W125">_xlfn.IFS(W124&gt;= 70,"A",W124&gt;=60,"B",W124&gt;=50,"C",W124&gt;=45,"D",W124&gt;=40,"E",W124&lt;40,"F")</f>
        <v>C</v>
      </c>
      <c r="X125" s="7"/>
      <c r="Y125" s="7"/>
      <c r="Z125" s="7"/>
      <c r="AA125" s="7"/>
      <c r="AB125" s="7"/>
      <c r="AC125" s="7"/>
      <c r="AD125" s="7"/>
      <c r="AE125" s="7"/>
      <c r="AF125" s="7"/>
      <c r="AM125" s="56">
        <f t="shared" ref="AM125" si="233">SUMIFS($I$4:$W$4,I124:W124,"&gt;0")</f>
        <v>23</v>
      </c>
      <c r="AN125" s="47">
        <f t="shared" ref="AN125" si="234">(SUMIFS($I$4:$W$4,I124:W124,"&gt;0")-SUMIFS($I$4:$W$4,I125:W125,"F"))</f>
        <v>23</v>
      </c>
      <c r="AO125" s="56">
        <f t="shared" ref="AO125" si="235">SUMIFS($I$4:$W$4,I125:W125,"F")</f>
        <v>0</v>
      </c>
      <c r="AP125" s="76"/>
      <c r="AQ125" s="74"/>
      <c r="AR125" s="71"/>
    </row>
    <row r="126" spans="1:44" ht="15" thickTop="1" x14ac:dyDescent="0.3">
      <c r="A126" s="68">
        <v>61</v>
      </c>
      <c r="B126" s="77"/>
      <c r="C126" s="84"/>
      <c r="D126" s="84"/>
      <c r="E126" s="84"/>
      <c r="F126" s="84"/>
      <c r="G126" s="84"/>
      <c r="H126" s="84"/>
      <c r="I126" s="49">
        <v>45</v>
      </c>
      <c r="J126" s="49">
        <v>46</v>
      </c>
      <c r="K126" s="49">
        <v>47</v>
      </c>
      <c r="L126" s="49">
        <v>48</v>
      </c>
      <c r="M126" s="49">
        <v>49</v>
      </c>
      <c r="N126" s="49">
        <v>50</v>
      </c>
      <c r="O126" s="49">
        <v>51</v>
      </c>
      <c r="P126" s="49">
        <v>52</v>
      </c>
      <c r="Q126" s="49">
        <v>53</v>
      </c>
      <c r="R126" s="49">
        <v>54</v>
      </c>
      <c r="S126" s="49">
        <v>55</v>
      </c>
      <c r="T126" s="49">
        <v>56</v>
      </c>
      <c r="U126" s="49">
        <v>57</v>
      </c>
      <c r="V126" s="49">
        <v>58</v>
      </c>
      <c r="W126" s="49">
        <v>59</v>
      </c>
      <c r="X126" s="7"/>
      <c r="Y126" s="7"/>
      <c r="Z126" s="7"/>
      <c r="AA126" s="7"/>
      <c r="AB126" s="7"/>
      <c r="AC126" s="7"/>
      <c r="AD126" s="7"/>
      <c r="AE126" s="7"/>
      <c r="AF126" s="7"/>
      <c r="AM126" s="59"/>
      <c r="AN126" s="46"/>
      <c r="AO126" s="59"/>
      <c r="AP126" s="75" cm="1">
        <f t="array" ref="AP126">SUM(VLOOKUP(I127:W127,GRADEPOINT!$A$2:$B$7,2,0)*$I$4:$W$4)</f>
        <v>61</v>
      </c>
      <c r="AQ126" s="73">
        <f t="shared" ref="AQ126" si="236">ROUND(AP126/AM127,2)</f>
        <v>2.65</v>
      </c>
      <c r="AR126" s="72"/>
    </row>
    <row r="127" spans="1:44" ht="15" thickBot="1" x14ac:dyDescent="0.35">
      <c r="A127" s="69"/>
      <c r="B127" s="83"/>
      <c r="C127" s="89"/>
      <c r="D127" s="89"/>
      <c r="E127" s="89"/>
      <c r="F127" s="89"/>
      <c r="G127" s="89"/>
      <c r="H127" s="89"/>
      <c r="I127" s="50" t="str" cm="1">
        <f t="array" ref="I127">_xlfn.IFS(I126&gt;= 70,"A",I126&gt;=60,"B",I126&gt;=50,"C",I126&gt;=45,"D",I126&gt;=40,"E",I126&lt;40,"F")</f>
        <v>D</v>
      </c>
      <c r="J127" s="50" t="str" cm="1">
        <f t="array" ref="J127">_xlfn.IFS(J126&gt;= 70,"A",J126&gt;=60,"B",J126&gt;=50,"C",J126&gt;=45,"D",J126&gt;=40,"E",J126&lt;40,"F")</f>
        <v>D</v>
      </c>
      <c r="K127" s="50" t="str" cm="1">
        <f t="array" ref="K127">_xlfn.IFS(K126&gt;= 70,"A",K126&gt;=60,"B",K126&gt;=50,"C",K126&gt;=45,"D",K126&gt;=40,"E",K126&lt;40,"F")</f>
        <v>D</v>
      </c>
      <c r="L127" s="50" t="str" cm="1">
        <f t="array" ref="L127">_xlfn.IFS(L126&gt;= 70,"A",L126&gt;=60,"B",L126&gt;=50,"C",L126&gt;=45,"D",L126&gt;=40,"E",L126&lt;40,"F")</f>
        <v>D</v>
      </c>
      <c r="M127" s="50" t="str" cm="1">
        <f t="array" ref="M127">_xlfn.IFS(M126&gt;= 70,"A",M126&gt;=60,"B",M126&gt;=50,"C",M126&gt;=45,"D",M126&gt;=40,"E",M126&lt;40,"F")</f>
        <v>D</v>
      </c>
      <c r="N127" s="50" t="str" cm="1">
        <f t="array" ref="N127">_xlfn.IFS(N126&gt;= 70,"A",N126&gt;=60,"B",N126&gt;=50,"C",N126&gt;=45,"D",N126&gt;=40,"E",N126&lt;40,"F")</f>
        <v>C</v>
      </c>
      <c r="O127" s="51" t="str" cm="1">
        <f t="array" ref="O127">_xlfn.IFS(O126&gt;= 70,"A",O126&gt;=60,"B",O126&gt;=50,"C",O126&gt;=45,"D",O126&gt;=40,"E",O126&lt;40,"F")</f>
        <v>C</v>
      </c>
      <c r="P127" s="50" t="str" cm="1">
        <f t="array" ref="P127">_xlfn.IFS(P126&gt;= 70,"A",P126&gt;=60,"B",P126&gt;=50,"C",P126&gt;=45,"D",P126&gt;=40,"E",P126&lt;40,"F")</f>
        <v>C</v>
      </c>
      <c r="Q127" s="50" t="str" cm="1">
        <f t="array" ref="Q127">_xlfn.IFS(Q126&gt;= 70,"A",Q126&gt;=60,"B",Q126&gt;=50,"C",Q126&gt;=45,"D",Q126&gt;=40,"E",Q126&lt;40,"F")</f>
        <v>C</v>
      </c>
      <c r="R127" s="50" t="str" cm="1">
        <f t="array" ref="R127">_xlfn.IFS(R126&gt;= 70,"A",R126&gt;=60,"B",R126&gt;=50,"C",R126&gt;=45,"D",R126&gt;=40,"E",R126&lt;40,"F")</f>
        <v>C</v>
      </c>
      <c r="S127" s="51" t="str" cm="1">
        <f t="array" ref="S127">_xlfn.IFS(S126&gt;= 70,"A",S126&gt;=60,"B",S126&gt;=50,"C",S126&gt;=45,"D",S126&gt;=40,"E",S126&lt;40,"F")</f>
        <v>C</v>
      </c>
      <c r="T127" s="50" t="str" cm="1">
        <f t="array" ref="T127">_xlfn.IFS(T126&gt;= 70,"A",T126&gt;=60,"B",T126&gt;=50,"C",T126&gt;=45,"D",T126&gt;=40,"E",T126&lt;40,"F")</f>
        <v>C</v>
      </c>
      <c r="U127" s="50" t="str" cm="1">
        <f t="array" ref="U127">_xlfn.IFS(U126&gt;= 70,"A",U126&gt;=60,"B",U126&gt;=50,"C",U126&gt;=45,"D",U126&gt;=40,"E",U126&lt;40,"F")</f>
        <v>C</v>
      </c>
      <c r="V127" s="50" t="str" cm="1">
        <f t="array" ref="V127">_xlfn.IFS(V126&gt;= 70,"A",V126&gt;=60,"B",V126&gt;=50,"C",V126&gt;=45,"D",V126&gt;=40,"E",V126&lt;40,"F")</f>
        <v>C</v>
      </c>
      <c r="W127" s="50" t="str" cm="1">
        <f t="array" ref="W127">_xlfn.IFS(W126&gt;= 70,"A",W126&gt;=60,"B",W126&gt;=50,"C",W126&gt;=45,"D",W126&gt;=40,"E",W126&lt;40,"F")</f>
        <v>C</v>
      </c>
      <c r="X127" s="7"/>
      <c r="Y127" s="7"/>
      <c r="Z127" s="7"/>
      <c r="AA127" s="7"/>
      <c r="AB127" s="7"/>
      <c r="AC127" s="7"/>
      <c r="AD127" s="7"/>
      <c r="AE127" s="7"/>
      <c r="AF127" s="7"/>
      <c r="AM127" s="56">
        <f t="shared" ref="AM127" si="237">SUMIFS($I$4:$W$4,I126:W126,"&gt;0")</f>
        <v>23</v>
      </c>
      <c r="AN127" s="47">
        <f t="shared" ref="AN127" si="238">(SUMIFS($I$4:$W$4,I126:W126,"&gt;0")-SUMIFS($I$4:$W$4,I127:W127,"F"))</f>
        <v>23</v>
      </c>
      <c r="AO127" s="56">
        <f t="shared" ref="AO127" si="239">SUMIFS($I$4:$W$4,I127:W127,"F")</f>
        <v>0</v>
      </c>
      <c r="AP127" s="76"/>
      <c r="AQ127" s="74"/>
      <c r="AR127" s="71"/>
    </row>
    <row r="128" spans="1:44" ht="15" thickTop="1" x14ac:dyDescent="0.3">
      <c r="A128" s="68">
        <v>62</v>
      </c>
      <c r="B128" s="77"/>
      <c r="C128" s="84"/>
      <c r="D128" s="84"/>
      <c r="E128" s="84"/>
      <c r="F128" s="84"/>
      <c r="G128" s="84"/>
      <c r="H128" s="84"/>
      <c r="I128" s="49">
        <v>45</v>
      </c>
      <c r="J128" s="49">
        <v>46</v>
      </c>
      <c r="K128" s="49">
        <v>47</v>
      </c>
      <c r="L128" s="49">
        <v>48</v>
      </c>
      <c r="M128" s="49">
        <v>49</v>
      </c>
      <c r="N128" s="49">
        <v>50</v>
      </c>
      <c r="O128" s="49">
        <v>51</v>
      </c>
      <c r="P128" s="49">
        <v>52</v>
      </c>
      <c r="Q128" s="49">
        <v>53</v>
      </c>
      <c r="R128" s="49">
        <v>54</v>
      </c>
      <c r="S128" s="49">
        <v>55</v>
      </c>
      <c r="T128" s="49">
        <v>56</v>
      </c>
      <c r="U128" s="49">
        <v>57</v>
      </c>
      <c r="V128" s="49">
        <v>58</v>
      </c>
      <c r="W128" s="49">
        <v>59</v>
      </c>
      <c r="X128" s="7"/>
      <c r="Y128" s="7"/>
      <c r="Z128" s="7"/>
      <c r="AA128" s="7"/>
      <c r="AB128" s="7"/>
      <c r="AC128" s="7"/>
      <c r="AD128" s="7"/>
      <c r="AE128" s="7"/>
      <c r="AF128" s="7"/>
      <c r="AM128" s="59"/>
      <c r="AN128" s="46"/>
      <c r="AO128" s="59"/>
      <c r="AP128" s="75" cm="1">
        <f t="array" ref="AP128">SUM(VLOOKUP(I129:W129,GRADEPOINT!$A$2:$B$7,2,0)*$I$4:$W$4)</f>
        <v>61</v>
      </c>
      <c r="AQ128" s="73">
        <f t="shared" ref="AQ128" si="240">ROUND(AP128/AM129,2)</f>
        <v>2.65</v>
      </c>
      <c r="AR128" s="72"/>
    </row>
    <row r="129" spans="1:44" ht="15" thickBot="1" x14ac:dyDescent="0.35">
      <c r="A129" s="69"/>
      <c r="B129" s="83"/>
      <c r="C129" s="89"/>
      <c r="D129" s="89"/>
      <c r="E129" s="89"/>
      <c r="F129" s="89"/>
      <c r="G129" s="89"/>
      <c r="H129" s="89"/>
      <c r="I129" s="51" t="str" cm="1">
        <f t="array" ref="I129">_xlfn.IFS(I128&gt;= 70,"A",I128&gt;=60,"B",I128&gt;=50,"C",I128&gt;=45,"D",I128&gt;=40,"E",I128&lt;40,"F")</f>
        <v>D</v>
      </c>
      <c r="J129" s="51" t="str" cm="1">
        <f t="array" ref="J129">_xlfn.IFS(J128&gt;= 70,"A",J128&gt;=60,"B",J128&gt;=50,"C",J128&gt;=45,"D",J128&gt;=40,"E",J128&lt;40,"F")</f>
        <v>D</v>
      </c>
      <c r="K129" s="50" t="str" cm="1">
        <f t="array" ref="K129">_xlfn.IFS(K128&gt;= 70,"A",K128&gt;=60,"B",K128&gt;=50,"C",K128&gt;=45,"D",K128&gt;=40,"E",K128&lt;40,"F")</f>
        <v>D</v>
      </c>
      <c r="L129" s="50" t="str" cm="1">
        <f t="array" ref="L129">_xlfn.IFS(L128&gt;= 70,"A",L128&gt;=60,"B",L128&gt;=50,"C",L128&gt;=45,"D",L128&gt;=40,"E",L128&lt;40,"F")</f>
        <v>D</v>
      </c>
      <c r="M129" s="51" t="str" cm="1">
        <f t="array" ref="M129">_xlfn.IFS(M128&gt;= 70,"A",M128&gt;=60,"B",M128&gt;=50,"C",M128&gt;=45,"D",M128&gt;=40,"E",M128&lt;40,"F")</f>
        <v>D</v>
      </c>
      <c r="N129" s="51" t="str" cm="1">
        <f t="array" ref="N129">_xlfn.IFS(N128&gt;= 70,"A",N128&gt;=60,"B",N128&gt;=50,"C",N128&gt;=45,"D",N128&gt;=40,"E",N128&lt;40,"F")</f>
        <v>C</v>
      </c>
      <c r="O129" s="51" t="str" cm="1">
        <f t="array" ref="O129">_xlfn.IFS(O128&gt;= 70,"A",O128&gt;=60,"B",O128&gt;=50,"C",O128&gt;=45,"D",O128&gt;=40,"E",O128&lt;40,"F")</f>
        <v>C</v>
      </c>
      <c r="P129" s="50" t="str" cm="1">
        <f t="array" ref="P129">_xlfn.IFS(P128&gt;= 70,"A",P128&gt;=60,"B",P128&gt;=50,"C",P128&gt;=45,"D",P128&gt;=40,"E",P128&lt;40,"F")</f>
        <v>C</v>
      </c>
      <c r="Q129" s="50" t="str" cm="1">
        <f t="array" ref="Q129">_xlfn.IFS(Q128&gt;= 70,"A",Q128&gt;=60,"B",Q128&gt;=50,"C",Q128&gt;=45,"D",Q128&gt;=40,"E",Q128&lt;40,"F")</f>
        <v>C</v>
      </c>
      <c r="R129" s="50" t="str" cm="1">
        <f t="array" ref="R129">_xlfn.IFS(R128&gt;= 70,"A",R128&gt;=60,"B",R128&gt;=50,"C",R128&gt;=45,"D",R128&gt;=40,"E",R128&lt;40,"F")</f>
        <v>C</v>
      </c>
      <c r="S129" s="51" t="str" cm="1">
        <f t="array" ref="S129">_xlfn.IFS(S128&gt;= 70,"A",S128&gt;=60,"B",S128&gt;=50,"C",S128&gt;=45,"D",S128&gt;=40,"E",S128&lt;40,"F")</f>
        <v>C</v>
      </c>
      <c r="T129" s="50" t="str" cm="1">
        <f t="array" ref="T129">_xlfn.IFS(T128&gt;= 70,"A",T128&gt;=60,"B",T128&gt;=50,"C",T128&gt;=45,"D",T128&gt;=40,"E",T128&lt;40,"F")</f>
        <v>C</v>
      </c>
      <c r="U129" s="51" t="str" cm="1">
        <f t="array" ref="U129">_xlfn.IFS(U128&gt;= 70,"A",U128&gt;=60,"B",U128&gt;=50,"C",U128&gt;=45,"D",U128&gt;=40,"E",U128&lt;40,"F")</f>
        <v>C</v>
      </c>
      <c r="V129" s="50" t="str" cm="1">
        <f t="array" ref="V129">_xlfn.IFS(V128&gt;= 70,"A",V128&gt;=60,"B",V128&gt;=50,"C",V128&gt;=45,"D",V128&gt;=40,"E",V128&lt;40,"F")</f>
        <v>C</v>
      </c>
      <c r="W129" s="50" t="str" cm="1">
        <f t="array" ref="W129">_xlfn.IFS(W128&gt;= 70,"A",W128&gt;=60,"B",W128&gt;=50,"C",W128&gt;=45,"D",W128&gt;=40,"E",W128&lt;40,"F")</f>
        <v>C</v>
      </c>
      <c r="X129" s="7"/>
      <c r="Y129" s="7"/>
      <c r="Z129" s="7"/>
      <c r="AA129" s="7"/>
      <c r="AB129" s="7"/>
      <c r="AC129" s="7"/>
      <c r="AD129" s="7"/>
      <c r="AE129" s="7"/>
      <c r="AF129" s="7"/>
      <c r="AM129" s="56">
        <f t="shared" ref="AM129" si="241">SUMIFS($I$4:$W$4,I128:W128,"&gt;0")</f>
        <v>23</v>
      </c>
      <c r="AN129" s="47">
        <f t="shared" ref="AN129" si="242">(SUMIFS($I$4:$W$4,I128:W128,"&gt;0")-SUMIFS($I$4:$W$4,I129:W129,"F"))</f>
        <v>23</v>
      </c>
      <c r="AO129" s="56">
        <f t="shared" ref="AO129" si="243">SUMIFS($I$4:$W$4,I129:W129,"F")</f>
        <v>0</v>
      </c>
      <c r="AP129" s="76"/>
      <c r="AQ129" s="74"/>
      <c r="AR129" s="71"/>
    </row>
    <row r="130" spans="1:44" ht="15" thickTop="1" x14ac:dyDescent="0.3">
      <c r="A130" s="68">
        <v>63</v>
      </c>
      <c r="B130" s="77"/>
      <c r="C130" s="84"/>
      <c r="D130" s="84"/>
      <c r="E130" s="84"/>
      <c r="F130" s="84"/>
      <c r="G130" s="84"/>
      <c r="H130" s="84"/>
      <c r="I130" s="49">
        <v>46</v>
      </c>
      <c r="J130" s="49">
        <v>46</v>
      </c>
      <c r="K130" s="49">
        <v>47</v>
      </c>
      <c r="L130" s="49">
        <v>48</v>
      </c>
      <c r="M130" s="49">
        <v>49</v>
      </c>
      <c r="N130" s="49">
        <v>50</v>
      </c>
      <c r="O130" s="49">
        <v>51</v>
      </c>
      <c r="P130" s="49">
        <v>52</v>
      </c>
      <c r="Q130" s="49">
        <v>53</v>
      </c>
      <c r="R130" s="49">
        <v>54</v>
      </c>
      <c r="S130" s="49">
        <v>55</v>
      </c>
      <c r="T130" s="49">
        <v>56</v>
      </c>
      <c r="U130" s="49">
        <v>57</v>
      </c>
      <c r="V130" s="49">
        <v>58</v>
      </c>
      <c r="W130" s="49">
        <v>59</v>
      </c>
      <c r="X130" s="7"/>
      <c r="Y130" s="7"/>
      <c r="Z130" s="7"/>
      <c r="AA130" s="7"/>
      <c r="AB130" s="7"/>
      <c r="AC130" s="7"/>
      <c r="AD130" s="7"/>
      <c r="AE130" s="7"/>
      <c r="AF130" s="7"/>
      <c r="AM130" s="59"/>
      <c r="AN130" s="46"/>
      <c r="AO130" s="59"/>
      <c r="AP130" s="75" cm="1">
        <f t="array" ref="AP130">SUM(VLOOKUP(I131:W131,GRADEPOINT!$A$2:$B$7,2,0)*$I$4:$W$4)</f>
        <v>61</v>
      </c>
      <c r="AQ130" s="73">
        <f t="shared" ref="AQ130" si="244">ROUND(AP130/AM131,2)</f>
        <v>2.65</v>
      </c>
      <c r="AR130" s="72"/>
    </row>
    <row r="131" spans="1:44" ht="15" thickBot="1" x14ac:dyDescent="0.35">
      <c r="A131" s="69"/>
      <c r="B131" s="78"/>
      <c r="C131" s="89"/>
      <c r="D131" s="89"/>
      <c r="E131" s="89"/>
      <c r="F131" s="89"/>
      <c r="G131" s="89"/>
      <c r="H131" s="89"/>
      <c r="I131" s="51" t="str" cm="1">
        <f t="array" ref="I131">_xlfn.IFS(I130&gt;= 70,"A",I130&gt;=60,"B",I130&gt;=50,"C",I130&gt;=45,"D",I130&gt;=40,"E",I130&lt;40,"F")</f>
        <v>D</v>
      </c>
      <c r="J131" s="51" t="str" cm="1">
        <f t="array" ref="J131">_xlfn.IFS(J130&gt;= 70,"A",J130&gt;=60,"B",J130&gt;=50,"C",J130&gt;=45,"D",J130&gt;=40,"E",J130&lt;40,"F")</f>
        <v>D</v>
      </c>
      <c r="K131" s="50" t="str" cm="1">
        <f t="array" ref="K131">_xlfn.IFS(K130&gt;= 70,"A",K130&gt;=60,"B",K130&gt;=50,"C",K130&gt;=45,"D",K130&gt;=40,"E",K130&lt;40,"F")</f>
        <v>D</v>
      </c>
      <c r="L131" s="50" t="str" cm="1">
        <f t="array" ref="L131">_xlfn.IFS(L130&gt;= 70,"A",L130&gt;=60,"B",L130&gt;=50,"C",L130&gt;=45,"D",L130&gt;=40,"E",L130&lt;40,"F")</f>
        <v>D</v>
      </c>
      <c r="M131" s="51" t="str" cm="1">
        <f t="array" ref="M131">_xlfn.IFS(M130&gt;= 70,"A",M130&gt;=60,"B",M130&gt;=50,"C",M130&gt;=45,"D",M130&gt;=40,"E",M130&lt;40,"F")</f>
        <v>D</v>
      </c>
      <c r="N131" s="51" t="str" cm="1">
        <f t="array" ref="N131">_xlfn.IFS(N130&gt;= 70,"A",N130&gt;=60,"B",N130&gt;=50,"C",N130&gt;=45,"D",N130&gt;=40,"E",N130&lt;40,"F")</f>
        <v>C</v>
      </c>
      <c r="O131" s="51" t="str" cm="1">
        <f t="array" ref="O131">_xlfn.IFS(O130&gt;= 70,"A",O130&gt;=60,"B",O130&gt;=50,"C",O130&gt;=45,"D",O130&gt;=40,"E",O130&lt;40,"F")</f>
        <v>C</v>
      </c>
      <c r="P131" s="50" t="str" cm="1">
        <f t="array" ref="P131">_xlfn.IFS(P130&gt;= 70,"A",P130&gt;=60,"B",P130&gt;=50,"C",P130&gt;=45,"D",P130&gt;=40,"E",P130&lt;40,"F")</f>
        <v>C</v>
      </c>
      <c r="Q131" s="50" t="str" cm="1">
        <f t="array" ref="Q131">_xlfn.IFS(Q130&gt;= 70,"A",Q130&gt;=60,"B",Q130&gt;=50,"C",Q130&gt;=45,"D",Q130&gt;=40,"E",Q130&lt;40,"F")</f>
        <v>C</v>
      </c>
      <c r="R131" s="50" t="str" cm="1">
        <f t="array" ref="R131">_xlfn.IFS(R130&gt;= 70,"A",R130&gt;=60,"B",R130&gt;=50,"C",R130&gt;=45,"D",R130&gt;=40,"E",R130&lt;40,"F")</f>
        <v>C</v>
      </c>
      <c r="S131" s="51" t="str" cm="1">
        <f t="array" ref="S131">_xlfn.IFS(S130&gt;= 70,"A",S130&gt;=60,"B",S130&gt;=50,"C",S130&gt;=45,"D",S130&gt;=40,"E",S130&lt;40,"F")</f>
        <v>C</v>
      </c>
      <c r="T131" s="50" t="str" cm="1">
        <f t="array" ref="T131">_xlfn.IFS(T130&gt;= 70,"A",T130&gt;=60,"B",T130&gt;=50,"C",T130&gt;=45,"D",T130&gt;=40,"E",T130&lt;40,"F")</f>
        <v>C</v>
      </c>
      <c r="U131" s="51" t="str" cm="1">
        <f t="array" ref="U131">_xlfn.IFS(U130&gt;= 70,"A",U130&gt;=60,"B",U130&gt;=50,"C",U130&gt;=45,"D",U130&gt;=40,"E",U130&lt;40,"F")</f>
        <v>C</v>
      </c>
      <c r="V131" s="50" t="str" cm="1">
        <f t="array" ref="V131">_xlfn.IFS(V130&gt;= 70,"A",V130&gt;=60,"B",V130&gt;=50,"C",V130&gt;=45,"D",V130&gt;=40,"E",V130&lt;40,"F")</f>
        <v>C</v>
      </c>
      <c r="W131" s="50" t="str" cm="1">
        <f t="array" ref="W131">_xlfn.IFS(W130&gt;= 70,"A",W130&gt;=60,"B",W130&gt;=50,"C",W130&gt;=45,"D",W130&gt;=40,"E",W130&lt;40,"F")</f>
        <v>C</v>
      </c>
      <c r="X131" s="7"/>
      <c r="Y131" s="7"/>
      <c r="Z131" s="7"/>
      <c r="AA131" s="7"/>
      <c r="AB131" s="7"/>
      <c r="AC131" s="7"/>
      <c r="AD131" s="7"/>
      <c r="AE131" s="7"/>
      <c r="AF131" s="7"/>
      <c r="AM131" s="56">
        <f t="shared" ref="AM131" si="245">SUMIFS($I$4:$W$4,I130:W130,"&gt;0")</f>
        <v>23</v>
      </c>
      <c r="AN131" s="47">
        <f t="shared" ref="AN131" si="246">(SUMIFS($I$4:$W$4,I130:W130,"&gt;0")-SUMIFS($I$4:$W$4,I131:W131,"F"))</f>
        <v>23</v>
      </c>
      <c r="AO131" s="56">
        <f t="shared" ref="AO131" si="247">SUMIFS($I$4:$W$4,I131:W131,"F")</f>
        <v>0</v>
      </c>
      <c r="AP131" s="76"/>
      <c r="AQ131" s="74"/>
      <c r="AR131" s="71"/>
    </row>
    <row r="132" spans="1:44" ht="15" thickTop="1" x14ac:dyDescent="0.3">
      <c r="A132" s="68">
        <v>64</v>
      </c>
      <c r="B132" s="77"/>
      <c r="C132" s="84"/>
      <c r="D132" s="84"/>
      <c r="E132" s="84"/>
      <c r="F132" s="84"/>
      <c r="G132" s="84"/>
      <c r="H132" s="84"/>
      <c r="I132" s="49">
        <v>47</v>
      </c>
      <c r="J132" s="49">
        <v>46</v>
      </c>
      <c r="K132" s="49">
        <v>47</v>
      </c>
      <c r="L132" s="49">
        <v>48</v>
      </c>
      <c r="M132" s="49">
        <v>49</v>
      </c>
      <c r="N132" s="49">
        <v>50</v>
      </c>
      <c r="O132" s="49">
        <v>51</v>
      </c>
      <c r="P132" s="49">
        <v>52</v>
      </c>
      <c r="Q132" s="49">
        <v>53</v>
      </c>
      <c r="R132" s="49">
        <v>54</v>
      </c>
      <c r="S132" s="49">
        <v>55</v>
      </c>
      <c r="T132" s="49">
        <v>56</v>
      </c>
      <c r="U132" s="49">
        <v>57</v>
      </c>
      <c r="V132" s="49">
        <v>58</v>
      </c>
      <c r="W132" s="49">
        <v>59</v>
      </c>
      <c r="X132" s="7"/>
      <c r="Y132" s="7"/>
      <c r="Z132" s="7"/>
      <c r="AA132" s="7"/>
      <c r="AB132" s="7"/>
      <c r="AC132" s="7"/>
      <c r="AD132" s="7"/>
      <c r="AE132" s="7"/>
      <c r="AF132" s="7"/>
      <c r="AM132" s="59"/>
      <c r="AN132" s="46"/>
      <c r="AO132" s="59"/>
      <c r="AP132" s="75" cm="1">
        <f t="array" ref="AP132">SUM(VLOOKUP(I133:W133,GRADEPOINT!$A$2:$B$7,2,0)*$I$4:$W$4)</f>
        <v>61</v>
      </c>
      <c r="AQ132" s="73">
        <f t="shared" ref="AQ132" si="248">ROUND(AP132/AM133,2)</f>
        <v>2.65</v>
      </c>
      <c r="AR132" s="72"/>
    </row>
    <row r="133" spans="1:44" ht="15" thickBot="1" x14ac:dyDescent="0.35">
      <c r="A133" s="69"/>
      <c r="B133" s="78"/>
      <c r="C133" s="89"/>
      <c r="D133" s="89"/>
      <c r="E133" s="89"/>
      <c r="F133" s="89"/>
      <c r="G133" s="89"/>
      <c r="H133" s="89"/>
      <c r="I133" s="51" t="str" cm="1">
        <f t="array" ref="I133">_xlfn.IFS(I132&gt;= 70,"A",I132&gt;=60,"B",I132&gt;=50,"C",I132&gt;=45,"D",I132&gt;=40,"E",I132&lt;40,"F")</f>
        <v>D</v>
      </c>
      <c r="J133" s="51" t="str" cm="1">
        <f t="array" ref="J133">_xlfn.IFS(J132&gt;= 70,"A",J132&gt;=60,"B",J132&gt;=50,"C",J132&gt;=45,"D",J132&gt;=40,"E",J132&lt;40,"F")</f>
        <v>D</v>
      </c>
      <c r="K133" s="50" t="str" cm="1">
        <f t="array" ref="K133">_xlfn.IFS(K132&gt;= 70,"A",K132&gt;=60,"B",K132&gt;=50,"C",K132&gt;=45,"D",K132&gt;=40,"E",K132&lt;40,"F")</f>
        <v>D</v>
      </c>
      <c r="L133" s="50" t="str" cm="1">
        <f t="array" ref="L133">_xlfn.IFS(L132&gt;= 70,"A",L132&gt;=60,"B",L132&gt;=50,"C",L132&gt;=45,"D",L132&gt;=40,"E",L132&lt;40,"F")</f>
        <v>D</v>
      </c>
      <c r="M133" s="51" t="str" cm="1">
        <f t="array" ref="M133">_xlfn.IFS(M132&gt;= 70,"A",M132&gt;=60,"B",M132&gt;=50,"C",M132&gt;=45,"D",M132&gt;=40,"E",M132&lt;40,"F")</f>
        <v>D</v>
      </c>
      <c r="N133" s="51" t="str" cm="1">
        <f t="array" ref="N133">_xlfn.IFS(N132&gt;= 70,"A",N132&gt;=60,"B",N132&gt;=50,"C",N132&gt;=45,"D",N132&gt;=40,"E",N132&lt;40,"F")</f>
        <v>C</v>
      </c>
      <c r="O133" s="51" t="str" cm="1">
        <f t="array" ref="O133">_xlfn.IFS(O132&gt;= 70,"A",O132&gt;=60,"B",O132&gt;=50,"C",O132&gt;=45,"D",O132&gt;=40,"E",O132&lt;40,"F")</f>
        <v>C</v>
      </c>
      <c r="P133" s="50" t="str" cm="1">
        <f t="array" ref="P133">_xlfn.IFS(P132&gt;= 70,"A",P132&gt;=60,"B",P132&gt;=50,"C",P132&gt;=45,"D",P132&gt;=40,"E",P132&lt;40,"F")</f>
        <v>C</v>
      </c>
      <c r="Q133" s="50" t="str" cm="1">
        <f t="array" ref="Q133">_xlfn.IFS(Q132&gt;= 70,"A",Q132&gt;=60,"B",Q132&gt;=50,"C",Q132&gt;=45,"D",Q132&gt;=40,"E",Q132&lt;40,"F")</f>
        <v>C</v>
      </c>
      <c r="R133" s="50" t="str" cm="1">
        <f t="array" ref="R133">_xlfn.IFS(R132&gt;= 70,"A",R132&gt;=60,"B",R132&gt;=50,"C",R132&gt;=45,"D",R132&gt;=40,"E",R132&lt;40,"F")</f>
        <v>C</v>
      </c>
      <c r="S133" s="51" t="str" cm="1">
        <f t="array" ref="S133">_xlfn.IFS(S132&gt;= 70,"A",S132&gt;=60,"B",S132&gt;=50,"C",S132&gt;=45,"D",S132&gt;=40,"E",S132&lt;40,"F")</f>
        <v>C</v>
      </c>
      <c r="T133" s="50" t="str" cm="1">
        <f t="array" ref="T133">_xlfn.IFS(T132&gt;= 70,"A",T132&gt;=60,"B",T132&gt;=50,"C",T132&gt;=45,"D",T132&gt;=40,"E",T132&lt;40,"F")</f>
        <v>C</v>
      </c>
      <c r="U133" s="51" t="str" cm="1">
        <f t="array" ref="U133">_xlfn.IFS(U132&gt;= 70,"A",U132&gt;=60,"B",U132&gt;=50,"C",U132&gt;=45,"D",U132&gt;=40,"E",U132&lt;40,"F")</f>
        <v>C</v>
      </c>
      <c r="V133" s="50" t="str" cm="1">
        <f t="array" ref="V133">_xlfn.IFS(V132&gt;= 70,"A",V132&gt;=60,"B",V132&gt;=50,"C",V132&gt;=45,"D",V132&gt;=40,"E",V132&lt;40,"F")</f>
        <v>C</v>
      </c>
      <c r="W133" s="50" t="str" cm="1">
        <f t="array" ref="W133">_xlfn.IFS(W132&gt;= 70,"A",W132&gt;=60,"B",W132&gt;=50,"C",W132&gt;=45,"D",W132&gt;=40,"E",W132&lt;40,"F")</f>
        <v>C</v>
      </c>
      <c r="X133" s="7"/>
      <c r="Y133" s="7"/>
      <c r="Z133" s="7"/>
      <c r="AA133" s="7"/>
      <c r="AB133" s="7"/>
      <c r="AC133" s="7"/>
      <c r="AD133" s="7"/>
      <c r="AE133" s="7"/>
      <c r="AF133" s="7"/>
      <c r="AM133" s="56">
        <f t="shared" ref="AM133" si="249">SUMIFS($I$4:$W$4,I132:W132,"&gt;0")</f>
        <v>23</v>
      </c>
      <c r="AN133" s="47">
        <f t="shared" ref="AN133" si="250">(SUMIFS($I$4:$W$4,I132:W132,"&gt;0")-SUMIFS($I$4:$W$4,I133:W133,"F"))</f>
        <v>23</v>
      </c>
      <c r="AO133" s="56">
        <f t="shared" ref="AO133" si="251">SUMIFS($I$4:$W$4,I133:W133,"F")</f>
        <v>0</v>
      </c>
      <c r="AP133" s="76"/>
      <c r="AQ133" s="74"/>
      <c r="AR133" s="71"/>
    </row>
    <row r="134" spans="1:44" ht="15" thickTop="1" x14ac:dyDescent="0.3">
      <c r="A134" s="68">
        <v>65</v>
      </c>
      <c r="B134" s="77"/>
      <c r="C134" s="84"/>
      <c r="D134" s="84"/>
      <c r="E134" s="84"/>
      <c r="F134" s="84"/>
      <c r="G134" s="84"/>
      <c r="H134" s="84"/>
      <c r="I134" s="49">
        <v>48</v>
      </c>
      <c r="J134" s="49">
        <v>46</v>
      </c>
      <c r="K134" s="49">
        <v>47</v>
      </c>
      <c r="L134" s="49">
        <v>48</v>
      </c>
      <c r="M134" s="49">
        <v>49</v>
      </c>
      <c r="N134" s="49">
        <v>50</v>
      </c>
      <c r="O134" s="49">
        <v>51</v>
      </c>
      <c r="P134" s="49">
        <v>52</v>
      </c>
      <c r="Q134" s="49">
        <v>53</v>
      </c>
      <c r="R134" s="49">
        <v>54</v>
      </c>
      <c r="S134" s="49">
        <v>55</v>
      </c>
      <c r="T134" s="49">
        <v>56</v>
      </c>
      <c r="U134" s="49">
        <v>57</v>
      </c>
      <c r="V134" s="49">
        <v>58</v>
      </c>
      <c r="W134" s="49">
        <v>59</v>
      </c>
      <c r="X134" s="7"/>
      <c r="Y134" s="7"/>
      <c r="Z134" s="7"/>
      <c r="AA134" s="7"/>
      <c r="AB134" s="7"/>
      <c r="AC134" s="7"/>
      <c r="AD134" s="7"/>
      <c r="AE134" s="7"/>
      <c r="AF134" s="7"/>
      <c r="AM134" s="59"/>
      <c r="AN134" s="46"/>
      <c r="AO134" s="59"/>
      <c r="AP134" s="75" cm="1">
        <f t="array" ref="AP134">SUM(VLOOKUP(I135:W135,GRADEPOINT!$A$2:$B$7,2,0)*$I$4:$W$4)</f>
        <v>61</v>
      </c>
      <c r="AQ134" s="73">
        <f t="shared" ref="AQ134" si="252">ROUND(AP134/AM135,2)</f>
        <v>2.65</v>
      </c>
      <c r="AR134" s="72"/>
    </row>
    <row r="135" spans="1:44" ht="15" thickBot="1" x14ac:dyDescent="0.35">
      <c r="A135" s="69"/>
      <c r="B135" s="78"/>
      <c r="C135" s="89"/>
      <c r="D135" s="89"/>
      <c r="E135" s="89"/>
      <c r="F135" s="89"/>
      <c r="G135" s="89"/>
      <c r="H135" s="89"/>
      <c r="I135" s="51" t="str" cm="1">
        <f t="array" ref="I135">_xlfn.IFS(I134&gt;= 70,"A",I134&gt;=60,"B",I134&gt;=50,"C",I134&gt;=45,"D",I134&gt;=40,"E",I134&lt;40,"F")</f>
        <v>D</v>
      </c>
      <c r="J135" s="51" t="str" cm="1">
        <f t="array" ref="J135">_xlfn.IFS(J134&gt;= 70,"A",J134&gt;=60,"B",J134&gt;=50,"C",J134&gt;=45,"D",J134&gt;=40,"E",J134&lt;40,"F")</f>
        <v>D</v>
      </c>
      <c r="K135" s="50" t="str" cm="1">
        <f t="array" ref="K135">_xlfn.IFS(K134&gt;= 70,"A",K134&gt;=60,"B",K134&gt;=50,"C",K134&gt;=45,"D",K134&gt;=40,"E",K134&lt;40,"F")</f>
        <v>D</v>
      </c>
      <c r="L135" s="50" t="str" cm="1">
        <f t="array" ref="L135">_xlfn.IFS(L134&gt;= 70,"A",L134&gt;=60,"B",L134&gt;=50,"C",L134&gt;=45,"D",L134&gt;=40,"E",L134&lt;40,"F")</f>
        <v>D</v>
      </c>
      <c r="M135" s="51" t="str" cm="1">
        <f t="array" ref="M135">_xlfn.IFS(M134&gt;= 70,"A",M134&gt;=60,"B",M134&gt;=50,"C",M134&gt;=45,"D",M134&gt;=40,"E",M134&lt;40,"F")</f>
        <v>D</v>
      </c>
      <c r="N135" s="51" t="str" cm="1">
        <f t="array" ref="N135">_xlfn.IFS(N134&gt;= 70,"A",N134&gt;=60,"B",N134&gt;=50,"C",N134&gt;=45,"D",N134&gt;=40,"E",N134&lt;40,"F")</f>
        <v>C</v>
      </c>
      <c r="O135" s="51" t="str" cm="1">
        <f t="array" ref="O135">_xlfn.IFS(O134&gt;= 70,"A",O134&gt;=60,"B",O134&gt;=50,"C",O134&gt;=45,"D",O134&gt;=40,"E",O134&lt;40,"F")</f>
        <v>C</v>
      </c>
      <c r="P135" s="50" t="str" cm="1">
        <f t="array" ref="P135">_xlfn.IFS(P134&gt;= 70,"A",P134&gt;=60,"B",P134&gt;=50,"C",P134&gt;=45,"D",P134&gt;=40,"E",P134&lt;40,"F")</f>
        <v>C</v>
      </c>
      <c r="Q135" s="50" t="str" cm="1">
        <f t="array" ref="Q135">_xlfn.IFS(Q134&gt;= 70,"A",Q134&gt;=60,"B",Q134&gt;=50,"C",Q134&gt;=45,"D",Q134&gt;=40,"E",Q134&lt;40,"F")</f>
        <v>C</v>
      </c>
      <c r="R135" s="50" t="str" cm="1">
        <f t="array" ref="R135">_xlfn.IFS(R134&gt;= 70,"A",R134&gt;=60,"B",R134&gt;=50,"C",R134&gt;=45,"D",R134&gt;=40,"E",R134&lt;40,"F")</f>
        <v>C</v>
      </c>
      <c r="S135" s="51" t="str" cm="1">
        <f t="array" ref="S135">_xlfn.IFS(S134&gt;= 70,"A",S134&gt;=60,"B",S134&gt;=50,"C",S134&gt;=45,"D",S134&gt;=40,"E",S134&lt;40,"F")</f>
        <v>C</v>
      </c>
      <c r="T135" s="50" t="str" cm="1">
        <f t="array" ref="T135">_xlfn.IFS(T134&gt;= 70,"A",T134&gt;=60,"B",T134&gt;=50,"C",T134&gt;=45,"D",T134&gt;=40,"E",T134&lt;40,"F")</f>
        <v>C</v>
      </c>
      <c r="U135" s="51" t="str" cm="1">
        <f t="array" ref="U135">_xlfn.IFS(U134&gt;= 70,"A",U134&gt;=60,"B",U134&gt;=50,"C",U134&gt;=45,"D",U134&gt;=40,"E",U134&lt;40,"F")</f>
        <v>C</v>
      </c>
      <c r="V135" s="50" t="str" cm="1">
        <f t="array" ref="V135">_xlfn.IFS(V134&gt;= 70,"A",V134&gt;=60,"B",V134&gt;=50,"C",V134&gt;=45,"D",V134&gt;=40,"E",V134&lt;40,"F")</f>
        <v>C</v>
      </c>
      <c r="W135" s="50" t="str" cm="1">
        <f t="array" ref="W135">_xlfn.IFS(W134&gt;= 70,"A",W134&gt;=60,"B",W134&gt;=50,"C",W134&gt;=45,"D",W134&gt;=40,"E",W134&lt;40,"F")</f>
        <v>C</v>
      </c>
      <c r="X135" s="7"/>
      <c r="Y135" s="7"/>
      <c r="Z135" s="7"/>
      <c r="AA135" s="7"/>
      <c r="AB135" s="7"/>
      <c r="AC135" s="7"/>
      <c r="AD135" s="7"/>
      <c r="AE135" s="7"/>
      <c r="AF135" s="7"/>
      <c r="AM135" s="56">
        <f t="shared" ref="AM135" si="253">SUMIFS($I$4:$W$4,I134:W134,"&gt;0")</f>
        <v>23</v>
      </c>
      <c r="AN135" s="47">
        <f t="shared" ref="AN135" si="254">(SUMIFS($I$4:$W$4,I134:W134,"&gt;0")-SUMIFS($I$4:$W$4,I135:W135,"F"))</f>
        <v>23</v>
      </c>
      <c r="AO135" s="56">
        <f t="shared" ref="AO135" si="255">SUMIFS($I$4:$W$4,I135:W135,"F")</f>
        <v>0</v>
      </c>
      <c r="AP135" s="76"/>
      <c r="AQ135" s="74"/>
      <c r="AR135" s="71"/>
    </row>
    <row r="136" spans="1:44" ht="15" thickTop="1" x14ac:dyDescent="0.3">
      <c r="A136" s="68">
        <v>66</v>
      </c>
      <c r="B136" s="77"/>
      <c r="C136" s="84"/>
      <c r="D136" s="84"/>
      <c r="E136" s="84"/>
      <c r="F136" s="84"/>
      <c r="G136" s="84"/>
      <c r="H136" s="84"/>
      <c r="I136" s="49">
        <v>49</v>
      </c>
      <c r="J136" s="49">
        <v>46</v>
      </c>
      <c r="K136" s="49">
        <v>47</v>
      </c>
      <c r="L136" s="49">
        <v>48</v>
      </c>
      <c r="M136" s="49">
        <v>49</v>
      </c>
      <c r="N136" s="49">
        <v>50</v>
      </c>
      <c r="O136" s="49">
        <v>51</v>
      </c>
      <c r="P136" s="49">
        <v>52</v>
      </c>
      <c r="Q136" s="49">
        <v>53</v>
      </c>
      <c r="R136" s="49">
        <v>54</v>
      </c>
      <c r="S136" s="49">
        <v>55</v>
      </c>
      <c r="T136" s="49">
        <v>56</v>
      </c>
      <c r="U136" s="49">
        <v>57</v>
      </c>
      <c r="V136" s="49">
        <v>58</v>
      </c>
      <c r="W136" s="49">
        <v>59</v>
      </c>
      <c r="X136" s="7"/>
      <c r="Y136" s="7"/>
      <c r="Z136" s="7"/>
      <c r="AA136" s="7"/>
      <c r="AB136" s="7"/>
      <c r="AC136" s="7"/>
      <c r="AD136" s="7"/>
      <c r="AE136" s="7"/>
      <c r="AF136" s="7"/>
      <c r="AM136" s="59"/>
      <c r="AN136" s="46"/>
      <c r="AO136" s="59"/>
      <c r="AP136" s="75" cm="1">
        <f t="array" ref="AP136">SUM(VLOOKUP(I137:W137,GRADEPOINT!$A$2:$B$7,2,0)*$I$4:$W$4)</f>
        <v>61</v>
      </c>
      <c r="AQ136" s="73">
        <f t="shared" ref="AQ136" si="256">ROUND(AP136/AM137,2)</f>
        <v>2.65</v>
      </c>
      <c r="AR136" s="72"/>
    </row>
    <row r="137" spans="1:44" ht="15" thickBot="1" x14ac:dyDescent="0.35">
      <c r="A137" s="69"/>
      <c r="B137" s="78"/>
      <c r="C137" s="89"/>
      <c r="D137" s="89"/>
      <c r="E137" s="89"/>
      <c r="F137" s="89"/>
      <c r="G137" s="89"/>
      <c r="H137" s="89"/>
      <c r="I137" s="51" t="str" cm="1">
        <f t="array" ref="I137">_xlfn.IFS(I136&gt;= 70,"A",I136&gt;=60,"B",I136&gt;=50,"C",I136&gt;=45,"D",I136&gt;=40,"E",I136&lt;40,"F")</f>
        <v>D</v>
      </c>
      <c r="J137" s="51" t="str" cm="1">
        <f t="array" ref="J137">_xlfn.IFS(J136&gt;= 70,"A",J136&gt;=60,"B",J136&gt;=50,"C",J136&gt;=45,"D",J136&gt;=40,"E",J136&lt;40,"F")</f>
        <v>D</v>
      </c>
      <c r="K137" s="50" t="str" cm="1">
        <f t="array" ref="K137">_xlfn.IFS(K136&gt;= 70,"A",K136&gt;=60,"B",K136&gt;=50,"C",K136&gt;=45,"D",K136&gt;=40,"E",K136&lt;40,"F")</f>
        <v>D</v>
      </c>
      <c r="L137" s="50" t="str" cm="1">
        <f t="array" ref="L137">_xlfn.IFS(L136&gt;= 70,"A",L136&gt;=60,"B",L136&gt;=50,"C",L136&gt;=45,"D",L136&gt;=40,"E",L136&lt;40,"F")</f>
        <v>D</v>
      </c>
      <c r="M137" s="51" t="str" cm="1">
        <f t="array" ref="M137">_xlfn.IFS(M136&gt;= 70,"A",M136&gt;=60,"B",M136&gt;=50,"C",M136&gt;=45,"D",M136&gt;=40,"E",M136&lt;40,"F")</f>
        <v>D</v>
      </c>
      <c r="N137" s="51" t="str" cm="1">
        <f t="array" ref="N137">_xlfn.IFS(N136&gt;= 70,"A",N136&gt;=60,"B",N136&gt;=50,"C",N136&gt;=45,"D",N136&gt;=40,"E",N136&lt;40,"F")</f>
        <v>C</v>
      </c>
      <c r="O137" s="51" t="str" cm="1">
        <f t="array" ref="O137">_xlfn.IFS(O136&gt;= 70,"A",O136&gt;=60,"B",O136&gt;=50,"C",O136&gt;=45,"D",O136&gt;=40,"E",O136&lt;40,"F")</f>
        <v>C</v>
      </c>
      <c r="P137" s="50" t="str" cm="1">
        <f t="array" ref="P137">_xlfn.IFS(P136&gt;= 70,"A",P136&gt;=60,"B",P136&gt;=50,"C",P136&gt;=45,"D",P136&gt;=40,"E",P136&lt;40,"F")</f>
        <v>C</v>
      </c>
      <c r="Q137" s="50" t="str" cm="1">
        <f t="array" ref="Q137">_xlfn.IFS(Q136&gt;= 70,"A",Q136&gt;=60,"B",Q136&gt;=50,"C",Q136&gt;=45,"D",Q136&gt;=40,"E",Q136&lt;40,"F")</f>
        <v>C</v>
      </c>
      <c r="R137" s="50" t="str" cm="1">
        <f t="array" ref="R137">_xlfn.IFS(R136&gt;= 70,"A",R136&gt;=60,"B",R136&gt;=50,"C",R136&gt;=45,"D",R136&gt;=40,"E",R136&lt;40,"F")</f>
        <v>C</v>
      </c>
      <c r="S137" s="51" t="str" cm="1">
        <f t="array" ref="S137">_xlfn.IFS(S136&gt;= 70,"A",S136&gt;=60,"B",S136&gt;=50,"C",S136&gt;=45,"D",S136&gt;=40,"E",S136&lt;40,"F")</f>
        <v>C</v>
      </c>
      <c r="T137" s="50" t="str" cm="1">
        <f t="array" ref="T137">_xlfn.IFS(T136&gt;= 70,"A",T136&gt;=60,"B",T136&gt;=50,"C",T136&gt;=45,"D",T136&gt;=40,"E",T136&lt;40,"F")</f>
        <v>C</v>
      </c>
      <c r="U137" s="51" t="str" cm="1">
        <f t="array" ref="U137">_xlfn.IFS(U136&gt;= 70,"A",U136&gt;=60,"B",U136&gt;=50,"C",U136&gt;=45,"D",U136&gt;=40,"E",U136&lt;40,"F")</f>
        <v>C</v>
      </c>
      <c r="V137" s="50" t="str" cm="1">
        <f t="array" ref="V137">_xlfn.IFS(V136&gt;= 70,"A",V136&gt;=60,"B",V136&gt;=50,"C",V136&gt;=45,"D",V136&gt;=40,"E",V136&lt;40,"F")</f>
        <v>C</v>
      </c>
      <c r="W137" s="50" t="str" cm="1">
        <f t="array" ref="W137">_xlfn.IFS(W136&gt;= 70,"A",W136&gt;=60,"B",W136&gt;=50,"C",W136&gt;=45,"D",W136&gt;=40,"E",W136&lt;40,"F")</f>
        <v>C</v>
      </c>
      <c r="X137" s="7"/>
      <c r="Y137" s="7"/>
      <c r="Z137" s="7"/>
      <c r="AA137" s="7"/>
      <c r="AB137" s="7"/>
      <c r="AC137" s="7"/>
      <c r="AD137" s="7"/>
      <c r="AE137" s="7"/>
      <c r="AF137" s="7"/>
      <c r="AM137" s="56">
        <f t="shared" ref="AM137" si="257">SUMIFS($I$4:$W$4,I136:W136,"&gt;0")</f>
        <v>23</v>
      </c>
      <c r="AN137" s="47">
        <f t="shared" ref="AN137" si="258">(SUMIFS($I$4:$W$4,I136:W136,"&gt;0")-SUMIFS($I$4:$W$4,I137:W137,"F"))</f>
        <v>23</v>
      </c>
      <c r="AO137" s="56">
        <f t="shared" ref="AO137" si="259">SUMIFS($I$4:$W$4,I137:W137,"F")</f>
        <v>0</v>
      </c>
      <c r="AP137" s="76"/>
      <c r="AQ137" s="74"/>
      <c r="AR137" s="71"/>
    </row>
    <row r="138" spans="1:44" ht="15" thickTop="1" x14ac:dyDescent="0.3">
      <c r="A138" s="68">
        <v>67</v>
      </c>
      <c r="B138" s="77"/>
      <c r="C138" s="84"/>
      <c r="D138" s="84"/>
      <c r="E138" s="84"/>
      <c r="F138" s="84"/>
      <c r="G138" s="84"/>
      <c r="H138" s="84"/>
      <c r="I138" s="49">
        <v>50</v>
      </c>
      <c r="J138" s="49">
        <v>46</v>
      </c>
      <c r="K138" s="49">
        <v>47</v>
      </c>
      <c r="L138" s="49">
        <v>48</v>
      </c>
      <c r="M138" s="49">
        <v>49</v>
      </c>
      <c r="N138" s="49">
        <v>50</v>
      </c>
      <c r="O138" s="49">
        <v>51</v>
      </c>
      <c r="P138" s="49">
        <v>52</v>
      </c>
      <c r="Q138" s="49">
        <v>53</v>
      </c>
      <c r="R138" s="49">
        <v>54</v>
      </c>
      <c r="S138" s="49">
        <v>55</v>
      </c>
      <c r="T138" s="49">
        <v>56</v>
      </c>
      <c r="U138" s="49">
        <v>57</v>
      </c>
      <c r="V138" s="49">
        <v>58</v>
      </c>
      <c r="W138" s="49">
        <v>59</v>
      </c>
      <c r="X138" s="7"/>
      <c r="Y138" s="7"/>
      <c r="Z138" s="7"/>
      <c r="AA138" s="7"/>
      <c r="AB138" s="7"/>
      <c r="AC138" s="7"/>
      <c r="AD138" s="7"/>
      <c r="AE138" s="7"/>
      <c r="AF138" s="7"/>
      <c r="AM138" s="59"/>
      <c r="AN138" s="46"/>
      <c r="AO138" s="59"/>
      <c r="AP138" s="75" cm="1">
        <f t="array" ref="AP138">SUM(VLOOKUP(I139:W139,GRADEPOINT!$A$2:$B$7,2,0)*$I$4:$W$4)</f>
        <v>63</v>
      </c>
      <c r="AQ138" s="73">
        <f t="shared" ref="AQ138" si="260">ROUND(AP138/AM139,2)</f>
        <v>2.74</v>
      </c>
      <c r="AR138" s="72"/>
    </row>
    <row r="139" spans="1:44" ht="15" thickBot="1" x14ac:dyDescent="0.35">
      <c r="A139" s="69"/>
      <c r="B139" s="78"/>
      <c r="C139" s="89"/>
      <c r="D139" s="89"/>
      <c r="E139" s="89"/>
      <c r="F139" s="89"/>
      <c r="G139" s="89"/>
      <c r="H139" s="89"/>
      <c r="I139" s="51" t="str" cm="1">
        <f t="array" ref="I139">_xlfn.IFS(I138&gt;= 70,"A",I138&gt;=60,"B",I138&gt;=50,"C",I138&gt;=45,"D",I138&gt;=40,"E",I138&lt;40,"F")</f>
        <v>C</v>
      </c>
      <c r="J139" s="51" t="str" cm="1">
        <f t="array" ref="J139">_xlfn.IFS(J138&gt;= 70,"A",J138&gt;=60,"B",J138&gt;=50,"C",J138&gt;=45,"D",J138&gt;=40,"E",J138&lt;40,"F")</f>
        <v>D</v>
      </c>
      <c r="K139" s="50" t="str" cm="1">
        <f t="array" ref="K139">_xlfn.IFS(K138&gt;= 70,"A",K138&gt;=60,"B",K138&gt;=50,"C",K138&gt;=45,"D",K138&gt;=40,"E",K138&lt;40,"F")</f>
        <v>D</v>
      </c>
      <c r="L139" s="50" t="str" cm="1">
        <f t="array" ref="L139">_xlfn.IFS(L138&gt;= 70,"A",L138&gt;=60,"B",L138&gt;=50,"C",L138&gt;=45,"D",L138&gt;=40,"E",L138&lt;40,"F")</f>
        <v>D</v>
      </c>
      <c r="M139" s="51" t="str" cm="1">
        <f t="array" ref="M139">_xlfn.IFS(M138&gt;= 70,"A",M138&gt;=60,"B",M138&gt;=50,"C",M138&gt;=45,"D",M138&gt;=40,"E",M138&lt;40,"F")</f>
        <v>D</v>
      </c>
      <c r="N139" s="51" t="str" cm="1">
        <f t="array" ref="N139">_xlfn.IFS(N138&gt;= 70,"A",N138&gt;=60,"B",N138&gt;=50,"C",N138&gt;=45,"D",N138&gt;=40,"E",N138&lt;40,"F")</f>
        <v>C</v>
      </c>
      <c r="O139" s="51" t="str" cm="1">
        <f t="array" ref="O139">_xlfn.IFS(O138&gt;= 70,"A",O138&gt;=60,"B",O138&gt;=50,"C",O138&gt;=45,"D",O138&gt;=40,"E",O138&lt;40,"F")</f>
        <v>C</v>
      </c>
      <c r="P139" s="50" t="str" cm="1">
        <f t="array" ref="P139">_xlfn.IFS(P138&gt;= 70,"A",P138&gt;=60,"B",P138&gt;=50,"C",P138&gt;=45,"D",P138&gt;=40,"E",P138&lt;40,"F")</f>
        <v>C</v>
      </c>
      <c r="Q139" s="50" t="str" cm="1">
        <f t="array" ref="Q139">_xlfn.IFS(Q138&gt;= 70,"A",Q138&gt;=60,"B",Q138&gt;=50,"C",Q138&gt;=45,"D",Q138&gt;=40,"E",Q138&lt;40,"F")</f>
        <v>C</v>
      </c>
      <c r="R139" s="50" t="str" cm="1">
        <f t="array" ref="R139">_xlfn.IFS(R138&gt;= 70,"A",R138&gt;=60,"B",R138&gt;=50,"C",R138&gt;=45,"D",R138&gt;=40,"E",R138&lt;40,"F")</f>
        <v>C</v>
      </c>
      <c r="S139" s="51" t="str" cm="1">
        <f t="array" ref="S139">_xlfn.IFS(S138&gt;= 70,"A",S138&gt;=60,"B",S138&gt;=50,"C",S138&gt;=45,"D",S138&gt;=40,"E",S138&lt;40,"F")</f>
        <v>C</v>
      </c>
      <c r="T139" s="50" t="str" cm="1">
        <f t="array" ref="T139">_xlfn.IFS(T138&gt;= 70,"A",T138&gt;=60,"B",T138&gt;=50,"C",T138&gt;=45,"D",T138&gt;=40,"E",T138&lt;40,"F")</f>
        <v>C</v>
      </c>
      <c r="U139" s="51" t="str" cm="1">
        <f t="array" ref="U139">_xlfn.IFS(U138&gt;= 70,"A",U138&gt;=60,"B",U138&gt;=50,"C",U138&gt;=45,"D",U138&gt;=40,"E",U138&lt;40,"F")</f>
        <v>C</v>
      </c>
      <c r="V139" s="50" t="str" cm="1">
        <f t="array" ref="V139">_xlfn.IFS(V138&gt;= 70,"A",V138&gt;=60,"B",V138&gt;=50,"C",V138&gt;=45,"D",V138&gt;=40,"E",V138&lt;40,"F")</f>
        <v>C</v>
      </c>
      <c r="W139" s="50" t="str" cm="1">
        <f t="array" ref="W139">_xlfn.IFS(W138&gt;= 70,"A",W138&gt;=60,"B",W138&gt;=50,"C",W138&gt;=45,"D",W138&gt;=40,"E",W138&lt;40,"F")</f>
        <v>C</v>
      </c>
      <c r="X139" s="7"/>
      <c r="Y139" s="7"/>
      <c r="Z139" s="7"/>
      <c r="AA139" s="7"/>
      <c r="AB139" s="7"/>
      <c r="AC139" s="7"/>
      <c r="AD139" s="7"/>
      <c r="AE139" s="7"/>
      <c r="AF139" s="7"/>
      <c r="AM139" s="56">
        <f t="shared" ref="AM139" si="261">SUMIFS($I$4:$W$4,I138:W138,"&gt;0")</f>
        <v>23</v>
      </c>
      <c r="AN139" s="47">
        <f t="shared" ref="AN139" si="262">(SUMIFS($I$4:$W$4,I138:W138,"&gt;0")-SUMIFS($I$4:$W$4,I139:W139,"F"))</f>
        <v>23</v>
      </c>
      <c r="AO139" s="56">
        <f t="shared" ref="AO139" si="263">SUMIFS($I$4:$W$4,I139:W139,"F")</f>
        <v>0</v>
      </c>
      <c r="AP139" s="76"/>
      <c r="AQ139" s="74"/>
      <c r="AR139" s="71"/>
    </row>
    <row r="140" spans="1:44" ht="15" thickTop="1" x14ac:dyDescent="0.3">
      <c r="A140" s="68">
        <v>68</v>
      </c>
      <c r="B140" s="77"/>
      <c r="C140" s="84"/>
      <c r="D140" s="84"/>
      <c r="E140" s="84"/>
      <c r="F140" s="84"/>
      <c r="G140" s="84"/>
      <c r="H140" s="84"/>
      <c r="I140" s="49">
        <v>51</v>
      </c>
      <c r="J140" s="49">
        <v>46</v>
      </c>
      <c r="K140" s="49">
        <v>47</v>
      </c>
      <c r="L140" s="49">
        <v>48</v>
      </c>
      <c r="M140" s="49">
        <v>49</v>
      </c>
      <c r="N140" s="49">
        <v>50</v>
      </c>
      <c r="O140" s="49">
        <v>51</v>
      </c>
      <c r="P140" s="49">
        <v>52</v>
      </c>
      <c r="Q140" s="49">
        <v>53</v>
      </c>
      <c r="R140" s="49">
        <v>54</v>
      </c>
      <c r="S140" s="49">
        <v>55</v>
      </c>
      <c r="T140" s="49">
        <v>56</v>
      </c>
      <c r="U140" s="49">
        <v>57</v>
      </c>
      <c r="V140" s="49">
        <v>58</v>
      </c>
      <c r="W140" s="49">
        <v>59</v>
      </c>
      <c r="X140" s="7"/>
      <c r="Y140" s="7"/>
      <c r="Z140" s="7"/>
      <c r="AA140" s="7"/>
      <c r="AB140" s="7"/>
      <c r="AC140" s="7"/>
      <c r="AD140" s="7"/>
      <c r="AE140" s="7"/>
      <c r="AF140" s="7"/>
      <c r="AM140" s="59"/>
      <c r="AN140" s="46"/>
      <c r="AO140" s="59"/>
      <c r="AP140" s="75" cm="1">
        <f t="array" ref="AP140">SUM(VLOOKUP(I141:W141,GRADEPOINT!$A$2:$B$7,2,0)*$I$4:$W$4)</f>
        <v>63</v>
      </c>
      <c r="AQ140" s="73">
        <f t="shared" ref="AQ140" si="264">ROUND(AP140/AM141,2)</f>
        <v>2.74</v>
      </c>
      <c r="AR140" s="72"/>
    </row>
    <row r="141" spans="1:44" ht="15" thickBot="1" x14ac:dyDescent="0.35">
      <c r="A141" s="69"/>
      <c r="B141" s="78"/>
      <c r="C141" s="89"/>
      <c r="D141" s="89"/>
      <c r="E141" s="89"/>
      <c r="F141" s="89"/>
      <c r="G141" s="89"/>
      <c r="H141" s="89"/>
      <c r="I141" s="51" t="str" cm="1">
        <f t="array" ref="I141">_xlfn.IFS(I140&gt;= 70,"A",I140&gt;=60,"B",I140&gt;=50,"C",I140&gt;=45,"D",I140&gt;=40,"E",I140&lt;40,"F")</f>
        <v>C</v>
      </c>
      <c r="J141" s="51" t="str" cm="1">
        <f t="array" ref="J141">_xlfn.IFS(J140&gt;= 70,"A",J140&gt;=60,"B",J140&gt;=50,"C",J140&gt;=45,"D",J140&gt;=40,"E",J140&lt;40,"F")</f>
        <v>D</v>
      </c>
      <c r="K141" s="50" t="str" cm="1">
        <f t="array" ref="K141">_xlfn.IFS(K140&gt;= 70,"A",K140&gt;=60,"B",K140&gt;=50,"C",K140&gt;=45,"D",K140&gt;=40,"E",K140&lt;40,"F")</f>
        <v>D</v>
      </c>
      <c r="L141" s="50" t="str" cm="1">
        <f t="array" ref="L141">_xlfn.IFS(L140&gt;= 70,"A",L140&gt;=60,"B",L140&gt;=50,"C",L140&gt;=45,"D",L140&gt;=40,"E",L140&lt;40,"F")</f>
        <v>D</v>
      </c>
      <c r="M141" s="51" t="str" cm="1">
        <f t="array" ref="M141">_xlfn.IFS(M140&gt;= 70,"A",M140&gt;=60,"B",M140&gt;=50,"C",M140&gt;=45,"D",M140&gt;=40,"E",M140&lt;40,"F")</f>
        <v>D</v>
      </c>
      <c r="N141" s="51" t="str" cm="1">
        <f t="array" ref="N141">_xlfn.IFS(N140&gt;= 70,"A",N140&gt;=60,"B",N140&gt;=50,"C",N140&gt;=45,"D",N140&gt;=40,"E",N140&lt;40,"F")</f>
        <v>C</v>
      </c>
      <c r="O141" s="51" t="str" cm="1">
        <f t="array" ref="O141">_xlfn.IFS(O140&gt;= 70,"A",O140&gt;=60,"B",O140&gt;=50,"C",O140&gt;=45,"D",O140&gt;=40,"E",O140&lt;40,"F")</f>
        <v>C</v>
      </c>
      <c r="P141" s="50" t="str" cm="1">
        <f t="array" ref="P141">_xlfn.IFS(P140&gt;= 70,"A",P140&gt;=60,"B",P140&gt;=50,"C",P140&gt;=45,"D",P140&gt;=40,"E",P140&lt;40,"F")</f>
        <v>C</v>
      </c>
      <c r="Q141" s="50" t="str" cm="1">
        <f t="array" ref="Q141">_xlfn.IFS(Q140&gt;= 70,"A",Q140&gt;=60,"B",Q140&gt;=50,"C",Q140&gt;=45,"D",Q140&gt;=40,"E",Q140&lt;40,"F")</f>
        <v>C</v>
      </c>
      <c r="R141" s="50" t="str" cm="1">
        <f t="array" ref="R141">_xlfn.IFS(R140&gt;= 70,"A",R140&gt;=60,"B",R140&gt;=50,"C",R140&gt;=45,"D",R140&gt;=40,"E",R140&lt;40,"F")</f>
        <v>C</v>
      </c>
      <c r="S141" s="51" t="str" cm="1">
        <f t="array" ref="S141">_xlfn.IFS(S140&gt;= 70,"A",S140&gt;=60,"B",S140&gt;=50,"C",S140&gt;=45,"D",S140&gt;=40,"E",S140&lt;40,"F")</f>
        <v>C</v>
      </c>
      <c r="T141" s="50" t="str" cm="1">
        <f t="array" ref="T141">_xlfn.IFS(T140&gt;= 70,"A",T140&gt;=60,"B",T140&gt;=50,"C",T140&gt;=45,"D",T140&gt;=40,"E",T140&lt;40,"F")</f>
        <v>C</v>
      </c>
      <c r="U141" s="51" t="str" cm="1">
        <f t="array" ref="U141">_xlfn.IFS(U140&gt;= 70,"A",U140&gt;=60,"B",U140&gt;=50,"C",U140&gt;=45,"D",U140&gt;=40,"E",U140&lt;40,"F")</f>
        <v>C</v>
      </c>
      <c r="V141" s="50" t="str" cm="1">
        <f t="array" ref="V141">_xlfn.IFS(V140&gt;= 70,"A",V140&gt;=60,"B",V140&gt;=50,"C",V140&gt;=45,"D",V140&gt;=40,"E",V140&lt;40,"F")</f>
        <v>C</v>
      </c>
      <c r="W141" s="50" t="str" cm="1">
        <f t="array" ref="W141">_xlfn.IFS(W140&gt;= 70,"A",W140&gt;=60,"B",W140&gt;=50,"C",W140&gt;=45,"D",W140&gt;=40,"E",W140&lt;40,"F")</f>
        <v>C</v>
      </c>
      <c r="X141" s="7"/>
      <c r="Y141" s="7"/>
      <c r="Z141" s="7"/>
      <c r="AA141" s="7"/>
      <c r="AB141" s="7"/>
      <c r="AC141" s="7"/>
      <c r="AD141" s="7"/>
      <c r="AE141" s="7"/>
      <c r="AF141" s="7"/>
      <c r="AM141" s="56">
        <f t="shared" ref="AM141" si="265">SUMIFS($I$4:$W$4,I140:W140,"&gt;0")</f>
        <v>23</v>
      </c>
      <c r="AN141" s="47">
        <f t="shared" ref="AN141" si="266">(SUMIFS($I$4:$W$4,I140:W140,"&gt;0")-SUMIFS($I$4:$W$4,I141:W141,"F"))</f>
        <v>23</v>
      </c>
      <c r="AO141" s="56">
        <f t="shared" ref="AO141" si="267">SUMIFS($I$4:$W$4,I141:W141,"F")</f>
        <v>0</v>
      </c>
      <c r="AP141" s="76"/>
      <c r="AQ141" s="74"/>
      <c r="AR141" s="71"/>
    </row>
    <row r="142" spans="1:44" ht="15" thickTop="1" x14ac:dyDescent="0.3">
      <c r="A142" s="68">
        <v>69</v>
      </c>
      <c r="B142" s="77"/>
      <c r="C142" s="84"/>
      <c r="D142" s="84"/>
      <c r="E142" s="84"/>
      <c r="F142" s="84"/>
      <c r="G142" s="84"/>
      <c r="H142" s="84"/>
      <c r="I142" s="49">
        <v>52</v>
      </c>
      <c r="J142" s="49">
        <v>46</v>
      </c>
      <c r="K142" s="49">
        <v>47</v>
      </c>
      <c r="L142" s="49">
        <v>48</v>
      </c>
      <c r="M142" s="49">
        <v>49</v>
      </c>
      <c r="N142" s="49">
        <v>50</v>
      </c>
      <c r="O142" s="49">
        <v>51</v>
      </c>
      <c r="P142" s="49">
        <v>52</v>
      </c>
      <c r="Q142" s="49">
        <v>53</v>
      </c>
      <c r="R142" s="49">
        <v>54</v>
      </c>
      <c r="S142" s="49">
        <v>55</v>
      </c>
      <c r="T142" s="49">
        <v>56</v>
      </c>
      <c r="U142" s="49">
        <v>57</v>
      </c>
      <c r="V142" s="49">
        <v>58</v>
      </c>
      <c r="W142" s="49">
        <v>59</v>
      </c>
      <c r="X142" s="7"/>
      <c r="Y142" s="7"/>
      <c r="Z142" s="7"/>
      <c r="AA142" s="7"/>
      <c r="AB142" s="7"/>
      <c r="AC142" s="7"/>
      <c r="AD142" s="7"/>
      <c r="AE142" s="7"/>
      <c r="AF142" s="7"/>
      <c r="AM142" s="59"/>
      <c r="AN142" s="46"/>
      <c r="AO142" s="59"/>
      <c r="AP142" s="75" cm="1">
        <f t="array" ref="AP142">SUM(VLOOKUP(I143:W143,GRADEPOINT!$A$2:$B$7,2,0)*$I$4:$W$4)</f>
        <v>63</v>
      </c>
      <c r="AQ142" s="73">
        <f t="shared" ref="AQ142" si="268">ROUND(AP142/AM143,2)</f>
        <v>2.74</v>
      </c>
      <c r="AR142" s="72"/>
    </row>
    <row r="143" spans="1:44" ht="15" thickBot="1" x14ac:dyDescent="0.35">
      <c r="A143" s="69"/>
      <c r="B143" s="78"/>
      <c r="C143" s="89"/>
      <c r="D143" s="89"/>
      <c r="E143" s="89"/>
      <c r="F143" s="89"/>
      <c r="G143" s="89"/>
      <c r="H143" s="89"/>
      <c r="I143" s="51" t="str" cm="1">
        <f t="array" ref="I143">_xlfn.IFS(I142&gt;= 70,"A",I142&gt;=60,"B",I142&gt;=50,"C",I142&gt;=45,"D",I142&gt;=40,"E",I142&lt;40,"F")</f>
        <v>C</v>
      </c>
      <c r="J143" s="51" t="str" cm="1">
        <f t="array" ref="J143">_xlfn.IFS(J142&gt;= 70,"A",J142&gt;=60,"B",J142&gt;=50,"C",J142&gt;=45,"D",J142&gt;=40,"E",J142&lt;40,"F")</f>
        <v>D</v>
      </c>
      <c r="K143" s="50" t="str" cm="1">
        <f t="array" ref="K143">_xlfn.IFS(K142&gt;= 70,"A",K142&gt;=60,"B",K142&gt;=50,"C",K142&gt;=45,"D",K142&gt;=40,"E",K142&lt;40,"F")</f>
        <v>D</v>
      </c>
      <c r="L143" s="50" t="str" cm="1">
        <f t="array" ref="L143">_xlfn.IFS(L142&gt;= 70,"A",L142&gt;=60,"B",L142&gt;=50,"C",L142&gt;=45,"D",L142&gt;=40,"E",L142&lt;40,"F")</f>
        <v>D</v>
      </c>
      <c r="M143" s="51" t="str" cm="1">
        <f t="array" ref="M143">_xlfn.IFS(M142&gt;= 70,"A",M142&gt;=60,"B",M142&gt;=50,"C",M142&gt;=45,"D",M142&gt;=40,"E",M142&lt;40,"F")</f>
        <v>D</v>
      </c>
      <c r="N143" s="51" t="str" cm="1">
        <f t="array" ref="N143">_xlfn.IFS(N142&gt;= 70,"A",N142&gt;=60,"B",N142&gt;=50,"C",N142&gt;=45,"D",N142&gt;=40,"E",N142&lt;40,"F")</f>
        <v>C</v>
      </c>
      <c r="O143" s="51" t="str" cm="1">
        <f t="array" ref="O143">_xlfn.IFS(O142&gt;= 70,"A",O142&gt;=60,"B",O142&gt;=50,"C",O142&gt;=45,"D",O142&gt;=40,"E",O142&lt;40,"F")</f>
        <v>C</v>
      </c>
      <c r="P143" s="50" t="str" cm="1">
        <f t="array" ref="P143">_xlfn.IFS(P142&gt;= 70,"A",P142&gt;=60,"B",P142&gt;=50,"C",P142&gt;=45,"D",P142&gt;=40,"E",P142&lt;40,"F")</f>
        <v>C</v>
      </c>
      <c r="Q143" s="50" t="str" cm="1">
        <f t="array" ref="Q143">_xlfn.IFS(Q142&gt;= 70,"A",Q142&gt;=60,"B",Q142&gt;=50,"C",Q142&gt;=45,"D",Q142&gt;=40,"E",Q142&lt;40,"F")</f>
        <v>C</v>
      </c>
      <c r="R143" s="50" t="str" cm="1">
        <f t="array" ref="R143">_xlfn.IFS(R142&gt;= 70,"A",R142&gt;=60,"B",R142&gt;=50,"C",R142&gt;=45,"D",R142&gt;=40,"E",R142&lt;40,"F")</f>
        <v>C</v>
      </c>
      <c r="S143" s="51" t="str" cm="1">
        <f t="array" ref="S143">_xlfn.IFS(S142&gt;= 70,"A",S142&gt;=60,"B",S142&gt;=50,"C",S142&gt;=45,"D",S142&gt;=40,"E",S142&lt;40,"F")</f>
        <v>C</v>
      </c>
      <c r="T143" s="50" t="str" cm="1">
        <f t="array" ref="T143">_xlfn.IFS(T142&gt;= 70,"A",T142&gt;=60,"B",T142&gt;=50,"C",T142&gt;=45,"D",T142&gt;=40,"E",T142&lt;40,"F")</f>
        <v>C</v>
      </c>
      <c r="U143" s="51" t="str" cm="1">
        <f t="array" ref="U143">_xlfn.IFS(U142&gt;= 70,"A",U142&gt;=60,"B",U142&gt;=50,"C",U142&gt;=45,"D",U142&gt;=40,"E",U142&lt;40,"F")</f>
        <v>C</v>
      </c>
      <c r="V143" s="50" t="str" cm="1">
        <f t="array" ref="V143">_xlfn.IFS(V142&gt;= 70,"A",V142&gt;=60,"B",V142&gt;=50,"C",V142&gt;=45,"D",V142&gt;=40,"E",V142&lt;40,"F")</f>
        <v>C</v>
      </c>
      <c r="W143" s="50" t="str" cm="1">
        <f t="array" ref="W143">_xlfn.IFS(W142&gt;= 70,"A",W142&gt;=60,"B",W142&gt;=50,"C",W142&gt;=45,"D",W142&gt;=40,"E",W142&lt;40,"F")</f>
        <v>C</v>
      </c>
      <c r="X143" s="7"/>
      <c r="Y143" s="7"/>
      <c r="Z143" s="7"/>
      <c r="AA143" s="7"/>
      <c r="AB143" s="7"/>
      <c r="AC143" s="7"/>
      <c r="AD143" s="7"/>
      <c r="AE143" s="7"/>
      <c r="AF143" s="7"/>
      <c r="AM143" s="56">
        <f t="shared" ref="AM143" si="269">SUMIFS($I$4:$W$4,I142:W142,"&gt;0")</f>
        <v>23</v>
      </c>
      <c r="AN143" s="47">
        <f t="shared" ref="AN143" si="270">(SUMIFS($I$4:$W$4,I142:W142,"&gt;0")-SUMIFS($I$4:$W$4,I143:W143,"F"))</f>
        <v>23</v>
      </c>
      <c r="AO143" s="56">
        <f t="shared" ref="AO143" si="271">SUMIFS($I$4:$W$4,I143:W143,"F")</f>
        <v>0</v>
      </c>
      <c r="AP143" s="76"/>
      <c r="AQ143" s="74"/>
      <c r="AR143" s="71"/>
    </row>
    <row r="144" spans="1:44" ht="15" thickTop="1" x14ac:dyDescent="0.3">
      <c r="A144" s="68">
        <v>70</v>
      </c>
      <c r="B144" s="77"/>
      <c r="C144" s="84"/>
      <c r="D144" s="84"/>
      <c r="E144" s="84"/>
      <c r="F144" s="84"/>
      <c r="G144" s="84"/>
      <c r="H144" s="84"/>
      <c r="I144" s="49">
        <v>53</v>
      </c>
      <c r="J144" s="49">
        <v>46</v>
      </c>
      <c r="K144" s="49">
        <v>47</v>
      </c>
      <c r="L144" s="49">
        <v>48</v>
      </c>
      <c r="M144" s="49">
        <v>49</v>
      </c>
      <c r="N144" s="49">
        <v>50</v>
      </c>
      <c r="O144" s="49">
        <v>51</v>
      </c>
      <c r="P144" s="49">
        <v>52</v>
      </c>
      <c r="Q144" s="49">
        <v>53</v>
      </c>
      <c r="R144" s="49">
        <v>54</v>
      </c>
      <c r="S144" s="49">
        <v>55</v>
      </c>
      <c r="T144" s="49">
        <v>56</v>
      </c>
      <c r="U144" s="49">
        <v>57</v>
      </c>
      <c r="V144" s="49">
        <v>58</v>
      </c>
      <c r="W144" s="49">
        <v>59</v>
      </c>
      <c r="X144" s="7"/>
      <c r="Y144" s="7"/>
      <c r="Z144" s="7"/>
      <c r="AA144" s="7"/>
      <c r="AB144" s="7"/>
      <c r="AC144" s="7"/>
      <c r="AD144" s="7"/>
      <c r="AE144" s="7"/>
      <c r="AF144" s="7"/>
      <c r="AM144" s="59"/>
      <c r="AN144" s="46"/>
      <c r="AO144" s="59"/>
      <c r="AP144" s="75" cm="1">
        <f t="array" ref="AP144">SUM(VLOOKUP(I145:W145,GRADEPOINT!$A$2:$B$7,2,0)*$I$4:$W$4)</f>
        <v>63</v>
      </c>
      <c r="AQ144" s="73">
        <f t="shared" ref="AQ144" si="272">ROUND(AP144/AM145,2)</f>
        <v>2.74</v>
      </c>
      <c r="AR144" s="72"/>
    </row>
    <row r="145" spans="1:44" ht="15" thickBot="1" x14ac:dyDescent="0.35">
      <c r="A145" s="69"/>
      <c r="B145" s="78"/>
      <c r="C145" s="89"/>
      <c r="D145" s="89"/>
      <c r="E145" s="89"/>
      <c r="F145" s="89"/>
      <c r="G145" s="89"/>
      <c r="H145" s="89"/>
      <c r="I145" s="51" t="str" cm="1">
        <f t="array" ref="I145">_xlfn.IFS(I144&gt;= 70,"A",I144&gt;=60,"B",I144&gt;=50,"C",I144&gt;=45,"D",I144&gt;=40,"E",I144&lt;40,"F")</f>
        <v>C</v>
      </c>
      <c r="J145" s="51" t="str" cm="1">
        <f t="array" ref="J145">_xlfn.IFS(J144&gt;= 70,"A",J144&gt;=60,"B",J144&gt;=50,"C",J144&gt;=45,"D",J144&gt;=40,"E",J144&lt;40,"F")</f>
        <v>D</v>
      </c>
      <c r="K145" s="50" t="str" cm="1">
        <f t="array" ref="K145">_xlfn.IFS(K144&gt;= 70,"A",K144&gt;=60,"B",K144&gt;=50,"C",K144&gt;=45,"D",K144&gt;=40,"E",K144&lt;40,"F")</f>
        <v>D</v>
      </c>
      <c r="L145" s="50" t="str" cm="1">
        <f t="array" ref="L145">_xlfn.IFS(L144&gt;= 70,"A",L144&gt;=60,"B",L144&gt;=50,"C",L144&gt;=45,"D",L144&gt;=40,"E",L144&lt;40,"F")</f>
        <v>D</v>
      </c>
      <c r="M145" s="51" t="str" cm="1">
        <f t="array" ref="M145">_xlfn.IFS(M144&gt;= 70,"A",M144&gt;=60,"B",M144&gt;=50,"C",M144&gt;=45,"D",M144&gt;=40,"E",M144&lt;40,"F")</f>
        <v>D</v>
      </c>
      <c r="N145" s="51" t="str" cm="1">
        <f t="array" ref="N145">_xlfn.IFS(N144&gt;= 70,"A",N144&gt;=60,"B",N144&gt;=50,"C",N144&gt;=45,"D",N144&gt;=40,"E",N144&lt;40,"F")</f>
        <v>C</v>
      </c>
      <c r="O145" s="51" t="str" cm="1">
        <f t="array" ref="O145">_xlfn.IFS(O144&gt;= 70,"A",O144&gt;=60,"B",O144&gt;=50,"C",O144&gt;=45,"D",O144&gt;=40,"E",O144&lt;40,"F")</f>
        <v>C</v>
      </c>
      <c r="P145" s="50" t="str" cm="1">
        <f t="array" ref="P145">_xlfn.IFS(P144&gt;= 70,"A",P144&gt;=60,"B",P144&gt;=50,"C",P144&gt;=45,"D",P144&gt;=40,"E",P144&lt;40,"F")</f>
        <v>C</v>
      </c>
      <c r="Q145" s="50" t="str" cm="1">
        <f t="array" ref="Q145">_xlfn.IFS(Q144&gt;= 70,"A",Q144&gt;=60,"B",Q144&gt;=50,"C",Q144&gt;=45,"D",Q144&gt;=40,"E",Q144&lt;40,"F")</f>
        <v>C</v>
      </c>
      <c r="R145" s="50" t="str" cm="1">
        <f t="array" ref="R145">_xlfn.IFS(R144&gt;= 70,"A",R144&gt;=60,"B",R144&gt;=50,"C",R144&gt;=45,"D",R144&gt;=40,"E",R144&lt;40,"F")</f>
        <v>C</v>
      </c>
      <c r="S145" s="51" t="str" cm="1">
        <f t="array" ref="S145">_xlfn.IFS(S144&gt;= 70,"A",S144&gt;=60,"B",S144&gt;=50,"C",S144&gt;=45,"D",S144&gt;=40,"E",S144&lt;40,"F")</f>
        <v>C</v>
      </c>
      <c r="T145" s="50" t="str" cm="1">
        <f t="array" ref="T145">_xlfn.IFS(T144&gt;= 70,"A",T144&gt;=60,"B",T144&gt;=50,"C",T144&gt;=45,"D",T144&gt;=40,"E",T144&lt;40,"F")</f>
        <v>C</v>
      </c>
      <c r="U145" s="51" t="str" cm="1">
        <f t="array" ref="U145">_xlfn.IFS(U144&gt;= 70,"A",U144&gt;=60,"B",U144&gt;=50,"C",U144&gt;=45,"D",U144&gt;=40,"E",U144&lt;40,"F")</f>
        <v>C</v>
      </c>
      <c r="V145" s="50" t="str" cm="1">
        <f t="array" ref="V145">_xlfn.IFS(V144&gt;= 70,"A",V144&gt;=60,"B",V144&gt;=50,"C",V144&gt;=45,"D",V144&gt;=40,"E",V144&lt;40,"F")</f>
        <v>C</v>
      </c>
      <c r="W145" s="50" t="str" cm="1">
        <f t="array" ref="W145">_xlfn.IFS(W144&gt;= 70,"A",W144&gt;=60,"B",W144&gt;=50,"C",W144&gt;=45,"D",W144&gt;=40,"E",W144&lt;40,"F")</f>
        <v>C</v>
      </c>
      <c r="X145" s="7"/>
      <c r="Y145" s="7"/>
      <c r="Z145" s="7"/>
      <c r="AA145" s="7"/>
      <c r="AB145" s="7"/>
      <c r="AC145" s="7"/>
      <c r="AD145" s="7"/>
      <c r="AE145" s="7"/>
      <c r="AF145" s="7"/>
      <c r="AM145" s="56">
        <f t="shared" ref="AM145" si="273">SUMIFS($I$4:$W$4,I144:W144,"&gt;0")</f>
        <v>23</v>
      </c>
      <c r="AN145" s="47">
        <f t="shared" ref="AN145" si="274">(SUMIFS($I$4:$W$4,I144:W144,"&gt;0")-SUMIFS($I$4:$W$4,I145:W145,"F"))</f>
        <v>23</v>
      </c>
      <c r="AO145" s="56">
        <f t="shared" ref="AO145" si="275">SUMIFS($I$4:$W$4,I145:W145,"F")</f>
        <v>0</v>
      </c>
      <c r="AP145" s="76"/>
      <c r="AQ145" s="74"/>
      <c r="AR145" s="71"/>
    </row>
    <row r="146" spans="1:44" ht="15" thickTop="1" x14ac:dyDescent="0.3">
      <c r="A146" s="68">
        <v>71</v>
      </c>
      <c r="B146" s="77"/>
      <c r="C146" s="84"/>
      <c r="D146" s="84"/>
      <c r="E146" s="84"/>
      <c r="F146" s="84"/>
      <c r="G146" s="84"/>
      <c r="H146" s="84"/>
      <c r="I146" s="49">
        <v>54</v>
      </c>
      <c r="J146" s="49">
        <v>46</v>
      </c>
      <c r="K146" s="49">
        <v>47</v>
      </c>
      <c r="L146" s="49">
        <v>48</v>
      </c>
      <c r="M146" s="49">
        <v>49</v>
      </c>
      <c r="N146" s="49">
        <v>50</v>
      </c>
      <c r="O146" s="49">
        <v>51</v>
      </c>
      <c r="P146" s="49">
        <v>52</v>
      </c>
      <c r="Q146" s="49">
        <v>53</v>
      </c>
      <c r="R146" s="49">
        <v>54</v>
      </c>
      <c r="S146" s="49">
        <v>55</v>
      </c>
      <c r="T146" s="49">
        <v>56</v>
      </c>
      <c r="U146" s="49">
        <v>57</v>
      </c>
      <c r="V146" s="49">
        <v>58</v>
      </c>
      <c r="W146" s="49">
        <v>59</v>
      </c>
      <c r="X146" s="7"/>
      <c r="Y146" s="7"/>
      <c r="Z146" s="7"/>
      <c r="AA146" s="7"/>
      <c r="AB146" s="7"/>
      <c r="AC146" s="7"/>
      <c r="AD146" s="7"/>
      <c r="AE146" s="7"/>
      <c r="AF146" s="7"/>
      <c r="AM146" s="59"/>
      <c r="AN146" s="46"/>
      <c r="AO146" s="59"/>
      <c r="AP146" s="75" cm="1">
        <f t="array" ref="AP146">SUM(VLOOKUP(I147:W147,GRADEPOINT!$A$2:$B$7,2,0)*$I$4:$W$4)</f>
        <v>63</v>
      </c>
      <c r="AQ146" s="73">
        <f t="shared" ref="AQ146" si="276">ROUND(AP146/AM147,2)</f>
        <v>2.74</v>
      </c>
      <c r="AR146" s="72"/>
    </row>
    <row r="147" spans="1:44" ht="15" thickBot="1" x14ac:dyDescent="0.35">
      <c r="A147" s="69"/>
      <c r="B147" s="78"/>
      <c r="C147" s="89"/>
      <c r="D147" s="89"/>
      <c r="E147" s="89"/>
      <c r="F147" s="89"/>
      <c r="G147" s="89"/>
      <c r="H147" s="89"/>
      <c r="I147" s="51" t="str" cm="1">
        <f t="array" ref="I147">_xlfn.IFS(I146&gt;= 70,"A",I146&gt;=60,"B",I146&gt;=50,"C",I146&gt;=45,"D",I146&gt;=40,"E",I146&lt;40,"F")</f>
        <v>C</v>
      </c>
      <c r="J147" s="51" t="str" cm="1">
        <f t="array" ref="J147">_xlfn.IFS(J146&gt;= 70,"A",J146&gt;=60,"B",J146&gt;=50,"C",J146&gt;=45,"D",J146&gt;=40,"E",J146&lt;40,"F")</f>
        <v>D</v>
      </c>
      <c r="K147" s="50" t="str" cm="1">
        <f t="array" ref="K147">_xlfn.IFS(K146&gt;= 70,"A",K146&gt;=60,"B",K146&gt;=50,"C",K146&gt;=45,"D",K146&gt;=40,"E",K146&lt;40,"F")</f>
        <v>D</v>
      </c>
      <c r="L147" s="50" t="str" cm="1">
        <f t="array" ref="L147">_xlfn.IFS(L146&gt;= 70,"A",L146&gt;=60,"B",L146&gt;=50,"C",L146&gt;=45,"D",L146&gt;=40,"E",L146&lt;40,"F")</f>
        <v>D</v>
      </c>
      <c r="M147" s="51" t="str" cm="1">
        <f t="array" ref="M147">_xlfn.IFS(M146&gt;= 70,"A",M146&gt;=60,"B",M146&gt;=50,"C",M146&gt;=45,"D",M146&gt;=40,"E",M146&lt;40,"F")</f>
        <v>D</v>
      </c>
      <c r="N147" s="51" t="str" cm="1">
        <f t="array" ref="N147">_xlfn.IFS(N146&gt;= 70,"A",N146&gt;=60,"B",N146&gt;=50,"C",N146&gt;=45,"D",N146&gt;=40,"E",N146&lt;40,"F")</f>
        <v>C</v>
      </c>
      <c r="O147" s="51" t="str" cm="1">
        <f t="array" ref="O147">_xlfn.IFS(O146&gt;= 70,"A",O146&gt;=60,"B",O146&gt;=50,"C",O146&gt;=45,"D",O146&gt;=40,"E",O146&lt;40,"F")</f>
        <v>C</v>
      </c>
      <c r="P147" s="50" t="str" cm="1">
        <f t="array" ref="P147">_xlfn.IFS(P146&gt;= 70,"A",P146&gt;=60,"B",P146&gt;=50,"C",P146&gt;=45,"D",P146&gt;=40,"E",P146&lt;40,"F")</f>
        <v>C</v>
      </c>
      <c r="Q147" s="50" t="str" cm="1">
        <f t="array" ref="Q147">_xlfn.IFS(Q146&gt;= 70,"A",Q146&gt;=60,"B",Q146&gt;=50,"C",Q146&gt;=45,"D",Q146&gt;=40,"E",Q146&lt;40,"F")</f>
        <v>C</v>
      </c>
      <c r="R147" s="50" t="str" cm="1">
        <f t="array" ref="R147">_xlfn.IFS(R146&gt;= 70,"A",R146&gt;=60,"B",R146&gt;=50,"C",R146&gt;=45,"D",R146&gt;=40,"E",R146&lt;40,"F")</f>
        <v>C</v>
      </c>
      <c r="S147" s="51" t="str" cm="1">
        <f t="array" ref="S147">_xlfn.IFS(S146&gt;= 70,"A",S146&gt;=60,"B",S146&gt;=50,"C",S146&gt;=45,"D",S146&gt;=40,"E",S146&lt;40,"F")</f>
        <v>C</v>
      </c>
      <c r="T147" s="50" t="str" cm="1">
        <f t="array" ref="T147">_xlfn.IFS(T146&gt;= 70,"A",T146&gt;=60,"B",T146&gt;=50,"C",T146&gt;=45,"D",T146&gt;=40,"E",T146&lt;40,"F")</f>
        <v>C</v>
      </c>
      <c r="U147" s="51" t="str" cm="1">
        <f t="array" ref="U147">_xlfn.IFS(U146&gt;= 70,"A",U146&gt;=60,"B",U146&gt;=50,"C",U146&gt;=45,"D",U146&gt;=40,"E",U146&lt;40,"F")</f>
        <v>C</v>
      </c>
      <c r="V147" s="50" t="str" cm="1">
        <f t="array" ref="V147">_xlfn.IFS(V146&gt;= 70,"A",V146&gt;=60,"B",V146&gt;=50,"C",V146&gt;=45,"D",V146&gt;=40,"E",V146&lt;40,"F")</f>
        <v>C</v>
      </c>
      <c r="W147" s="50" t="str" cm="1">
        <f t="array" ref="W147">_xlfn.IFS(W146&gt;= 70,"A",W146&gt;=60,"B",W146&gt;=50,"C",W146&gt;=45,"D",W146&gt;=40,"E",W146&lt;40,"F")</f>
        <v>C</v>
      </c>
      <c r="X147" s="7"/>
      <c r="Y147" s="7"/>
      <c r="Z147" s="7"/>
      <c r="AA147" s="7"/>
      <c r="AB147" s="7"/>
      <c r="AC147" s="7"/>
      <c r="AD147" s="7"/>
      <c r="AE147" s="7"/>
      <c r="AF147" s="7"/>
      <c r="AM147" s="56">
        <f t="shared" ref="AM147" si="277">SUMIFS($I$4:$W$4,I146:W146,"&gt;0")</f>
        <v>23</v>
      </c>
      <c r="AN147" s="47">
        <f t="shared" ref="AN147" si="278">(SUMIFS($I$4:$W$4,I146:W146,"&gt;0")-SUMIFS($I$4:$W$4,I147:W147,"F"))</f>
        <v>23</v>
      </c>
      <c r="AO147" s="56">
        <f t="shared" ref="AO147" si="279">SUMIFS($I$4:$W$4,I147:W147,"F")</f>
        <v>0</v>
      </c>
      <c r="AP147" s="76"/>
      <c r="AQ147" s="74"/>
      <c r="AR147" s="71"/>
    </row>
    <row r="148" spans="1:44" ht="15" thickTop="1" x14ac:dyDescent="0.3">
      <c r="A148" s="68">
        <v>72</v>
      </c>
      <c r="B148" s="70"/>
      <c r="C148" s="84"/>
      <c r="D148" s="84"/>
      <c r="E148" s="84"/>
      <c r="F148" s="84"/>
      <c r="G148" s="84"/>
      <c r="H148" s="84"/>
      <c r="I148" s="49">
        <v>55</v>
      </c>
      <c r="J148" s="49">
        <v>46</v>
      </c>
      <c r="K148" s="49">
        <v>47</v>
      </c>
      <c r="L148" s="49">
        <v>48</v>
      </c>
      <c r="M148" s="49">
        <v>49</v>
      </c>
      <c r="N148" s="49">
        <v>50</v>
      </c>
      <c r="O148" s="49">
        <v>51</v>
      </c>
      <c r="P148" s="49">
        <v>52</v>
      </c>
      <c r="Q148" s="49">
        <v>53</v>
      </c>
      <c r="R148" s="49">
        <v>54</v>
      </c>
      <c r="S148" s="49">
        <v>55</v>
      </c>
      <c r="T148" s="49">
        <v>56</v>
      </c>
      <c r="U148" s="49">
        <v>57</v>
      </c>
      <c r="V148" s="49">
        <v>58</v>
      </c>
      <c r="W148" s="49">
        <v>59</v>
      </c>
      <c r="X148" s="7"/>
      <c r="Y148" s="7"/>
      <c r="Z148" s="7"/>
      <c r="AA148" s="7"/>
      <c r="AB148" s="7"/>
      <c r="AC148" s="7"/>
      <c r="AD148" s="7"/>
      <c r="AE148" s="7"/>
      <c r="AF148" s="7"/>
      <c r="AM148" s="59"/>
      <c r="AN148" s="46"/>
      <c r="AO148" s="59"/>
      <c r="AP148" s="75" cm="1">
        <f t="array" ref="AP148">SUM(VLOOKUP(I149:W149,GRADEPOINT!$A$2:$B$7,2,0)*$I$4:$W$4)</f>
        <v>63</v>
      </c>
      <c r="AQ148" s="73">
        <f t="shared" ref="AQ148" si="280">ROUND(AP148/AM149,2)</f>
        <v>2.74</v>
      </c>
      <c r="AR148" s="72"/>
    </row>
    <row r="149" spans="1:44" ht="15" thickBot="1" x14ac:dyDescent="0.35">
      <c r="A149" s="69"/>
      <c r="B149" s="71"/>
      <c r="C149" s="89"/>
      <c r="D149" s="89"/>
      <c r="E149" s="89"/>
      <c r="F149" s="89"/>
      <c r="G149" s="89"/>
      <c r="H149" s="89"/>
      <c r="I149" s="51" t="str" cm="1">
        <f t="array" ref="I149">_xlfn.IFS(I148&gt;= 70,"A",I148&gt;=60,"B",I148&gt;=50,"C",I148&gt;=45,"D",I148&gt;=40,"E",I148&lt;40,"F")</f>
        <v>C</v>
      </c>
      <c r="J149" s="51" t="str" cm="1">
        <f t="array" ref="J149">_xlfn.IFS(J148&gt;= 70,"A",J148&gt;=60,"B",J148&gt;=50,"C",J148&gt;=45,"D",J148&gt;=40,"E",J148&lt;40,"F")</f>
        <v>D</v>
      </c>
      <c r="K149" s="50" t="str" cm="1">
        <f t="array" ref="K149">_xlfn.IFS(K148&gt;= 70,"A",K148&gt;=60,"B",K148&gt;=50,"C",K148&gt;=45,"D",K148&gt;=40,"E",K148&lt;40,"F")</f>
        <v>D</v>
      </c>
      <c r="L149" s="50" t="str" cm="1">
        <f t="array" ref="L149">_xlfn.IFS(L148&gt;= 70,"A",L148&gt;=60,"B",L148&gt;=50,"C",L148&gt;=45,"D",L148&gt;=40,"E",L148&lt;40,"F")</f>
        <v>D</v>
      </c>
      <c r="M149" s="51" t="str" cm="1">
        <f t="array" ref="M149">_xlfn.IFS(M148&gt;= 70,"A",M148&gt;=60,"B",M148&gt;=50,"C",M148&gt;=45,"D",M148&gt;=40,"E",M148&lt;40,"F")</f>
        <v>D</v>
      </c>
      <c r="N149" s="51" t="str" cm="1">
        <f t="array" ref="N149">_xlfn.IFS(N148&gt;= 70,"A",N148&gt;=60,"B",N148&gt;=50,"C",N148&gt;=45,"D",N148&gt;=40,"E",N148&lt;40,"F")</f>
        <v>C</v>
      </c>
      <c r="O149" s="51" t="str" cm="1">
        <f t="array" ref="O149">_xlfn.IFS(O148&gt;= 70,"A",O148&gt;=60,"B",O148&gt;=50,"C",O148&gt;=45,"D",O148&gt;=40,"E",O148&lt;40,"F")</f>
        <v>C</v>
      </c>
      <c r="P149" s="50" t="str" cm="1">
        <f t="array" ref="P149">_xlfn.IFS(P148&gt;= 70,"A",P148&gt;=60,"B",P148&gt;=50,"C",P148&gt;=45,"D",P148&gt;=40,"E",P148&lt;40,"F")</f>
        <v>C</v>
      </c>
      <c r="Q149" s="50" t="str" cm="1">
        <f t="array" ref="Q149">_xlfn.IFS(Q148&gt;= 70,"A",Q148&gt;=60,"B",Q148&gt;=50,"C",Q148&gt;=45,"D",Q148&gt;=40,"E",Q148&lt;40,"F")</f>
        <v>C</v>
      </c>
      <c r="R149" s="50" t="str" cm="1">
        <f t="array" ref="R149">_xlfn.IFS(R148&gt;= 70,"A",R148&gt;=60,"B",R148&gt;=50,"C",R148&gt;=45,"D",R148&gt;=40,"E",R148&lt;40,"F")</f>
        <v>C</v>
      </c>
      <c r="S149" s="51" t="str" cm="1">
        <f t="array" ref="S149">_xlfn.IFS(S148&gt;= 70,"A",S148&gt;=60,"B",S148&gt;=50,"C",S148&gt;=45,"D",S148&gt;=40,"E",S148&lt;40,"F")</f>
        <v>C</v>
      </c>
      <c r="T149" s="50" t="str" cm="1">
        <f t="array" ref="T149">_xlfn.IFS(T148&gt;= 70,"A",T148&gt;=60,"B",T148&gt;=50,"C",T148&gt;=45,"D",T148&gt;=40,"E",T148&lt;40,"F")</f>
        <v>C</v>
      </c>
      <c r="U149" s="51" t="str" cm="1">
        <f t="array" ref="U149">_xlfn.IFS(U148&gt;= 70,"A",U148&gt;=60,"B",U148&gt;=50,"C",U148&gt;=45,"D",U148&gt;=40,"E",U148&lt;40,"F")</f>
        <v>C</v>
      </c>
      <c r="V149" s="50" t="str" cm="1">
        <f t="array" ref="V149">_xlfn.IFS(V148&gt;= 70,"A",V148&gt;=60,"B",V148&gt;=50,"C",V148&gt;=45,"D",V148&gt;=40,"E",V148&lt;40,"F")</f>
        <v>C</v>
      </c>
      <c r="W149" s="50" t="str" cm="1">
        <f t="array" ref="W149">_xlfn.IFS(W148&gt;= 70,"A",W148&gt;=60,"B",W148&gt;=50,"C",W148&gt;=45,"D",W148&gt;=40,"E",W148&lt;40,"F")</f>
        <v>C</v>
      </c>
      <c r="X149" s="7"/>
      <c r="Y149" s="7"/>
      <c r="Z149" s="7"/>
      <c r="AA149" s="7"/>
      <c r="AB149" s="7"/>
      <c r="AC149" s="7"/>
      <c r="AD149" s="7"/>
      <c r="AE149" s="7"/>
      <c r="AF149" s="7"/>
      <c r="AM149" s="56">
        <f t="shared" ref="AM149" si="281">SUMIFS($I$4:$W$4,I148:W148,"&gt;0")</f>
        <v>23</v>
      </c>
      <c r="AN149" s="47">
        <f t="shared" ref="AN149" si="282">(SUMIFS($I$4:$W$4,I148:W148,"&gt;0")-SUMIFS($I$4:$W$4,I149:W149,"F"))</f>
        <v>23</v>
      </c>
      <c r="AO149" s="56">
        <f t="shared" ref="AO149" si="283">SUMIFS($I$4:$W$4,I149:W149,"F")</f>
        <v>0</v>
      </c>
      <c r="AP149" s="76"/>
      <c r="AQ149" s="74"/>
      <c r="AR149" s="71"/>
    </row>
    <row r="150" spans="1:44" ht="15" thickTop="1" x14ac:dyDescent="0.3">
      <c r="A150" s="68">
        <v>73</v>
      </c>
      <c r="B150" s="70"/>
      <c r="C150" s="84"/>
      <c r="D150" s="84"/>
      <c r="E150" s="84"/>
      <c r="F150" s="84"/>
      <c r="G150" s="84"/>
      <c r="H150" s="84"/>
      <c r="I150" s="49">
        <v>56</v>
      </c>
      <c r="J150" s="49">
        <v>46</v>
      </c>
      <c r="K150" s="49">
        <v>47</v>
      </c>
      <c r="L150" s="49">
        <v>48</v>
      </c>
      <c r="M150" s="49">
        <v>49</v>
      </c>
      <c r="N150" s="49">
        <v>50</v>
      </c>
      <c r="O150" s="49">
        <v>51</v>
      </c>
      <c r="P150" s="49">
        <v>52</v>
      </c>
      <c r="Q150" s="49">
        <v>53</v>
      </c>
      <c r="R150" s="49">
        <v>54</v>
      </c>
      <c r="S150" s="49">
        <v>55</v>
      </c>
      <c r="T150" s="49">
        <v>56</v>
      </c>
      <c r="U150" s="49">
        <v>57</v>
      </c>
      <c r="V150" s="49">
        <v>58</v>
      </c>
      <c r="W150" s="49">
        <v>59</v>
      </c>
      <c r="X150" s="7"/>
      <c r="Y150" s="7"/>
      <c r="Z150" s="7"/>
      <c r="AA150" s="7"/>
      <c r="AB150" s="7"/>
      <c r="AC150" s="7"/>
      <c r="AD150" s="7"/>
      <c r="AE150" s="7"/>
      <c r="AF150" s="7"/>
      <c r="AM150" s="59"/>
      <c r="AN150" s="46"/>
      <c r="AO150" s="59"/>
      <c r="AP150" s="75" cm="1">
        <f t="array" ref="AP150">SUM(VLOOKUP(I151:W151,GRADEPOINT!$A$2:$B$7,2,0)*$I$4:$W$4)</f>
        <v>63</v>
      </c>
      <c r="AQ150" s="73">
        <f t="shared" ref="AQ150" si="284">ROUND(AP150/AM151,2)</f>
        <v>2.74</v>
      </c>
      <c r="AR150" s="72"/>
    </row>
    <row r="151" spans="1:44" ht="15" thickBot="1" x14ac:dyDescent="0.35">
      <c r="A151" s="69"/>
      <c r="B151" s="71"/>
      <c r="C151" s="89"/>
      <c r="D151" s="89"/>
      <c r="E151" s="89"/>
      <c r="F151" s="89"/>
      <c r="G151" s="89"/>
      <c r="H151" s="89"/>
      <c r="I151" s="51" t="str" cm="1">
        <f t="array" ref="I151">_xlfn.IFS(I150&gt;= 70,"A",I150&gt;=60,"B",I150&gt;=50,"C",I150&gt;=45,"D",I150&gt;=40,"E",I150&lt;40,"F")</f>
        <v>C</v>
      </c>
      <c r="J151" s="51" t="str" cm="1">
        <f t="array" ref="J151">_xlfn.IFS(J150&gt;= 70,"A",J150&gt;=60,"B",J150&gt;=50,"C",J150&gt;=45,"D",J150&gt;=40,"E",J150&lt;40,"F")</f>
        <v>D</v>
      </c>
      <c r="K151" s="51" t="str" cm="1">
        <f t="array" ref="K151">_xlfn.IFS(K150&gt;= 70,"A",K150&gt;=60,"B",K150&gt;=50,"C",K150&gt;=45,"D",K150&gt;=40,"E",K150&lt;40,"F")</f>
        <v>D</v>
      </c>
      <c r="L151" s="50" t="str" cm="1">
        <f t="array" ref="L151">_xlfn.IFS(L150&gt;= 70,"A",L150&gt;=60,"B",L150&gt;=50,"C",L150&gt;=45,"D",L150&gt;=40,"E",L150&lt;40,"F")</f>
        <v>D</v>
      </c>
      <c r="M151" s="51" t="str" cm="1">
        <f t="array" ref="M151">_xlfn.IFS(M150&gt;= 70,"A",M150&gt;=60,"B",M150&gt;=50,"C",M150&gt;=45,"D",M150&gt;=40,"E",M150&lt;40,"F")</f>
        <v>D</v>
      </c>
      <c r="N151" s="51" t="str" cm="1">
        <f t="array" ref="N151">_xlfn.IFS(N150&gt;= 70,"A",N150&gt;=60,"B",N150&gt;=50,"C",N150&gt;=45,"D",N150&gt;=40,"E",N150&lt;40,"F")</f>
        <v>C</v>
      </c>
      <c r="O151" s="51" t="str" cm="1">
        <f t="array" ref="O151">_xlfn.IFS(O150&gt;= 70,"A",O150&gt;=60,"B",O150&gt;=50,"C",O150&gt;=45,"D",O150&gt;=40,"E",O150&lt;40,"F")</f>
        <v>C</v>
      </c>
      <c r="P151" s="51" t="str" cm="1">
        <f t="array" ref="P151">_xlfn.IFS(P150&gt;= 70,"A",P150&gt;=60,"B",P150&gt;=50,"C",P150&gt;=45,"D",P150&gt;=40,"E",P150&lt;40,"F")</f>
        <v>C</v>
      </c>
      <c r="Q151" s="51" t="str" cm="1">
        <f t="array" ref="Q151">_xlfn.IFS(Q150&gt;= 70,"A",Q150&gt;=60,"B",Q150&gt;=50,"C",Q150&gt;=45,"D",Q150&gt;=40,"E",Q150&lt;40,"F")</f>
        <v>C</v>
      </c>
      <c r="R151" s="51" t="str" cm="1">
        <f t="array" ref="R151">_xlfn.IFS(R150&gt;= 70,"A",R150&gt;=60,"B",R150&gt;=50,"C",R150&gt;=45,"D",R150&gt;=40,"E",R150&lt;40,"F")</f>
        <v>C</v>
      </c>
      <c r="S151" s="51" t="str" cm="1">
        <f t="array" ref="S151">_xlfn.IFS(S150&gt;= 70,"A",S150&gt;=60,"B",S150&gt;=50,"C",S150&gt;=45,"D",S150&gt;=40,"E",S150&lt;40,"F")</f>
        <v>C</v>
      </c>
      <c r="T151" s="50" t="str" cm="1">
        <f t="array" ref="T151">_xlfn.IFS(T150&gt;= 70,"A",T150&gt;=60,"B",T150&gt;=50,"C",T150&gt;=45,"D",T150&gt;=40,"E",T150&lt;40,"F")</f>
        <v>C</v>
      </c>
      <c r="U151" s="51" t="str" cm="1">
        <f t="array" ref="U151">_xlfn.IFS(U150&gt;= 70,"A",U150&gt;=60,"B",U150&gt;=50,"C",U150&gt;=45,"D",U150&gt;=40,"E",U150&lt;40,"F")</f>
        <v>C</v>
      </c>
      <c r="V151" s="50" t="str" cm="1">
        <f t="array" ref="V151">_xlfn.IFS(V150&gt;= 70,"A",V150&gt;=60,"B",V150&gt;=50,"C",V150&gt;=45,"D",V150&gt;=40,"E",V150&lt;40,"F")</f>
        <v>C</v>
      </c>
      <c r="W151" s="50" t="str" cm="1">
        <f t="array" ref="W151">_xlfn.IFS(W150&gt;= 70,"A",W150&gt;=60,"B",W150&gt;=50,"C",W150&gt;=45,"D",W150&gt;=40,"E",W150&lt;40,"F")</f>
        <v>C</v>
      </c>
      <c r="X151" s="7"/>
      <c r="Y151" s="7"/>
      <c r="Z151" s="7"/>
      <c r="AA151" s="7"/>
      <c r="AB151" s="7"/>
      <c r="AC151" s="7"/>
      <c r="AD151" s="7"/>
      <c r="AE151" s="7"/>
      <c r="AF151" s="7"/>
      <c r="AM151" s="56">
        <f t="shared" ref="AM151" si="285">SUMIFS($I$4:$W$4,I150:W150,"&gt;0")</f>
        <v>23</v>
      </c>
      <c r="AN151" s="47">
        <f t="shared" ref="AN151" si="286">(SUMIFS($I$4:$W$4,I150:W150,"&gt;0")-SUMIFS($I$4:$W$4,I151:W151,"F"))</f>
        <v>23</v>
      </c>
      <c r="AO151" s="56">
        <f t="shared" ref="AO151" si="287">SUMIFS($I$4:$W$4,I151:W151,"F")</f>
        <v>0</v>
      </c>
      <c r="AP151" s="76"/>
      <c r="AQ151" s="74"/>
      <c r="AR151" s="71"/>
    </row>
    <row r="152" spans="1:44" ht="15" thickTop="1" x14ac:dyDescent="0.3">
      <c r="A152" s="68">
        <v>74</v>
      </c>
      <c r="B152" s="70"/>
      <c r="C152" s="84"/>
      <c r="D152" s="84"/>
      <c r="E152" s="84"/>
      <c r="F152" s="84"/>
      <c r="G152" s="84"/>
      <c r="H152" s="84"/>
      <c r="I152" s="49">
        <v>56</v>
      </c>
      <c r="J152" s="49">
        <v>46</v>
      </c>
      <c r="K152" s="49">
        <v>47</v>
      </c>
      <c r="L152" s="49">
        <v>48</v>
      </c>
      <c r="M152" s="49">
        <v>49</v>
      </c>
      <c r="N152" s="49">
        <v>50</v>
      </c>
      <c r="O152" s="49">
        <v>51</v>
      </c>
      <c r="P152" s="49">
        <v>52</v>
      </c>
      <c r="Q152" s="49">
        <v>53</v>
      </c>
      <c r="R152" s="49">
        <v>54</v>
      </c>
      <c r="S152" s="49">
        <v>55</v>
      </c>
      <c r="T152" s="49">
        <v>56</v>
      </c>
      <c r="U152" s="49">
        <v>57</v>
      </c>
      <c r="V152" s="49">
        <v>58</v>
      </c>
      <c r="W152" s="49">
        <v>59</v>
      </c>
      <c r="X152" s="7"/>
      <c r="Y152" s="7"/>
      <c r="Z152" s="7"/>
      <c r="AA152" s="7"/>
      <c r="AB152" s="7"/>
      <c r="AC152" s="7"/>
      <c r="AD152" s="7"/>
      <c r="AE152" s="7"/>
      <c r="AF152" s="7"/>
      <c r="AM152" s="59"/>
      <c r="AN152" s="46"/>
      <c r="AO152" s="59"/>
      <c r="AP152" s="75" cm="1">
        <f t="array" ref="AP152">SUM(VLOOKUP(I153:W153,GRADEPOINT!$A$2:$B$7,2,0)*$I$4:$W$4)</f>
        <v>63</v>
      </c>
      <c r="AQ152" s="73">
        <f t="shared" ref="AQ152" si="288">ROUND(AP152/AM153,2)</f>
        <v>2.74</v>
      </c>
      <c r="AR152" s="72"/>
    </row>
    <row r="153" spans="1:44" ht="15" thickBot="1" x14ac:dyDescent="0.35">
      <c r="A153" s="69"/>
      <c r="B153" s="71"/>
      <c r="C153" s="89"/>
      <c r="D153" s="89"/>
      <c r="E153" s="89"/>
      <c r="F153" s="89"/>
      <c r="G153" s="89"/>
      <c r="H153" s="89"/>
      <c r="I153" s="51" t="str" cm="1">
        <f t="array" ref="I153">_xlfn.IFS(I152&gt;= 70,"A",I152&gt;=60,"B",I152&gt;=50,"C",I152&gt;=45,"D",I152&gt;=40,"E",I152&lt;40,"F")</f>
        <v>C</v>
      </c>
      <c r="J153" s="51" t="str" cm="1">
        <f t="array" ref="J153">_xlfn.IFS(J152&gt;= 70,"A",J152&gt;=60,"B",J152&gt;=50,"C",J152&gt;=45,"D",J152&gt;=40,"E",J152&lt;40,"F")</f>
        <v>D</v>
      </c>
      <c r="K153" s="51" t="str" cm="1">
        <f t="array" ref="K153">_xlfn.IFS(K152&gt;= 70,"A",K152&gt;=60,"B",K152&gt;=50,"C",K152&gt;=45,"D",K152&gt;=40,"E",K152&lt;40,"F")</f>
        <v>D</v>
      </c>
      <c r="L153" s="50" t="str" cm="1">
        <f t="array" ref="L153">_xlfn.IFS(L152&gt;= 70,"A",L152&gt;=60,"B",L152&gt;=50,"C",L152&gt;=45,"D",L152&gt;=40,"E",L152&lt;40,"F")</f>
        <v>D</v>
      </c>
      <c r="M153" s="51" t="str" cm="1">
        <f t="array" ref="M153">_xlfn.IFS(M152&gt;= 70,"A",M152&gt;=60,"B",M152&gt;=50,"C",M152&gt;=45,"D",M152&gt;=40,"E",M152&lt;40,"F")</f>
        <v>D</v>
      </c>
      <c r="N153" s="51" t="str" cm="1">
        <f t="array" ref="N153">_xlfn.IFS(N152&gt;= 70,"A",N152&gt;=60,"B",N152&gt;=50,"C",N152&gt;=45,"D",N152&gt;=40,"E",N152&lt;40,"F")</f>
        <v>C</v>
      </c>
      <c r="O153" s="51" t="str" cm="1">
        <f t="array" ref="O153">_xlfn.IFS(O152&gt;= 70,"A",O152&gt;=60,"B",O152&gt;=50,"C",O152&gt;=45,"D",O152&gt;=40,"E",O152&lt;40,"F")</f>
        <v>C</v>
      </c>
      <c r="P153" s="51" t="str" cm="1">
        <f t="array" ref="P153">_xlfn.IFS(P152&gt;= 70,"A",P152&gt;=60,"B",P152&gt;=50,"C",P152&gt;=45,"D",P152&gt;=40,"E",P152&lt;40,"F")</f>
        <v>C</v>
      </c>
      <c r="Q153" s="51" t="str" cm="1">
        <f t="array" ref="Q153">_xlfn.IFS(Q152&gt;= 70,"A",Q152&gt;=60,"B",Q152&gt;=50,"C",Q152&gt;=45,"D",Q152&gt;=40,"E",Q152&lt;40,"F")</f>
        <v>C</v>
      </c>
      <c r="R153" s="51" t="str" cm="1">
        <f t="array" ref="R153">_xlfn.IFS(R152&gt;= 70,"A",R152&gt;=60,"B",R152&gt;=50,"C",R152&gt;=45,"D",R152&gt;=40,"E",R152&lt;40,"F")</f>
        <v>C</v>
      </c>
      <c r="S153" s="51" t="str" cm="1">
        <f t="array" ref="S153">_xlfn.IFS(S152&gt;= 70,"A",S152&gt;=60,"B",S152&gt;=50,"C",S152&gt;=45,"D",S152&gt;=40,"E",S152&lt;40,"F")</f>
        <v>C</v>
      </c>
      <c r="T153" s="51" t="str" cm="1">
        <f t="array" ref="T153">_xlfn.IFS(T152&gt;= 70,"A",T152&gt;=60,"B",T152&gt;=50,"C",T152&gt;=45,"D",T152&gt;=40,"E",T152&lt;40,"F")</f>
        <v>C</v>
      </c>
      <c r="U153" s="51" t="str" cm="1">
        <f t="array" ref="U153">_xlfn.IFS(U152&gt;= 70,"A",U152&gt;=60,"B",U152&gt;=50,"C",U152&gt;=45,"D",U152&gt;=40,"E",U152&lt;40,"F")</f>
        <v>C</v>
      </c>
      <c r="V153" s="51" t="str" cm="1">
        <f t="array" ref="V153">_xlfn.IFS(V152&gt;= 70,"A",V152&gt;=60,"B",V152&gt;=50,"C",V152&gt;=45,"D",V152&gt;=40,"E",V152&lt;40,"F")</f>
        <v>C</v>
      </c>
      <c r="W153" s="50" t="str" cm="1">
        <f t="array" ref="W153">_xlfn.IFS(W152&gt;= 70,"A",W152&gt;=60,"B",W152&gt;=50,"C",W152&gt;=45,"D",W152&gt;=40,"E",W152&lt;40,"F")</f>
        <v>C</v>
      </c>
      <c r="X153" s="7"/>
      <c r="Y153" s="7"/>
      <c r="Z153" s="7"/>
      <c r="AA153" s="7"/>
      <c r="AB153" s="7"/>
      <c r="AC153" s="7"/>
      <c r="AD153" s="7"/>
      <c r="AE153" s="7"/>
      <c r="AF153" s="7"/>
      <c r="AM153" s="56">
        <f t="shared" ref="AM153" si="289">SUMIFS($I$4:$W$4,I152:W152,"&gt;0")</f>
        <v>23</v>
      </c>
      <c r="AN153" s="47">
        <f t="shared" ref="AN153" si="290">(SUMIFS($I$4:$W$4,I152:W152,"&gt;0")-SUMIFS($I$4:$W$4,I153:W153,"F"))</f>
        <v>23</v>
      </c>
      <c r="AO153" s="56">
        <f t="shared" ref="AO153" si="291">SUMIFS($I$4:$W$4,I153:W153,"F")</f>
        <v>0</v>
      </c>
      <c r="AP153" s="76"/>
      <c r="AQ153" s="74"/>
      <c r="AR153" s="71"/>
    </row>
    <row r="154" spans="1:44" ht="15" thickTop="1" x14ac:dyDescent="0.3">
      <c r="A154" s="68">
        <v>75</v>
      </c>
      <c r="B154" s="70"/>
      <c r="C154" s="75"/>
      <c r="D154" s="84"/>
      <c r="E154" s="84"/>
      <c r="F154" s="84"/>
      <c r="G154" s="84"/>
      <c r="H154" s="85"/>
      <c r="I154" s="49">
        <v>56</v>
      </c>
      <c r="J154" s="49">
        <v>46</v>
      </c>
      <c r="K154" s="49">
        <v>47</v>
      </c>
      <c r="L154" s="49">
        <v>48</v>
      </c>
      <c r="M154" s="49">
        <v>49</v>
      </c>
      <c r="N154" s="49">
        <v>50</v>
      </c>
      <c r="O154" s="49">
        <v>51</v>
      </c>
      <c r="P154" s="49">
        <v>52</v>
      </c>
      <c r="Q154" s="49">
        <v>53</v>
      </c>
      <c r="R154" s="49">
        <v>54</v>
      </c>
      <c r="S154" s="49">
        <v>55</v>
      </c>
      <c r="T154" s="49">
        <v>56</v>
      </c>
      <c r="U154" s="49">
        <v>57</v>
      </c>
      <c r="V154" s="49">
        <v>58</v>
      </c>
      <c r="W154" s="49">
        <v>59</v>
      </c>
      <c r="X154" s="7"/>
      <c r="Y154" s="7"/>
      <c r="Z154" s="7"/>
      <c r="AA154" s="7"/>
      <c r="AB154" s="7"/>
      <c r="AC154" s="7"/>
      <c r="AD154" s="7"/>
      <c r="AE154" s="7"/>
      <c r="AF154" s="7"/>
      <c r="AM154" s="59"/>
      <c r="AN154" s="46"/>
      <c r="AO154" s="59"/>
      <c r="AP154" s="75" cm="1">
        <f t="array" ref="AP154">SUM(VLOOKUP(I155:W155,GRADEPOINT!$A$2:$B$7,2,0)*$I$4:$W$4)</f>
        <v>63</v>
      </c>
      <c r="AQ154" s="73">
        <f t="shared" ref="AQ154" si="292">ROUND(AP154/AM155,2)</f>
        <v>2.74</v>
      </c>
      <c r="AR154" s="72"/>
    </row>
    <row r="155" spans="1:44" ht="15" thickBot="1" x14ac:dyDescent="0.35">
      <c r="A155" s="69"/>
      <c r="B155" s="71"/>
      <c r="C155" s="86"/>
      <c r="D155" s="87"/>
      <c r="E155" s="87"/>
      <c r="F155" s="87"/>
      <c r="G155" s="87"/>
      <c r="H155" s="88"/>
      <c r="I155" s="51" t="str" cm="1">
        <f t="array" ref="I155">_xlfn.IFS(I154&gt;= 70,"A",I154&gt;=60,"B",I154&gt;=50,"C",I154&gt;=45,"D",I154&gt;=40,"E",I154&lt;40,"F")</f>
        <v>C</v>
      </c>
      <c r="J155" s="51" t="str" cm="1">
        <f t="array" ref="J155">_xlfn.IFS(J154&gt;= 70,"A",J154&gt;=60,"B",J154&gt;=50,"C",J154&gt;=45,"D",J154&gt;=40,"E",J154&lt;40,"F")</f>
        <v>D</v>
      </c>
      <c r="K155" s="51" t="str" cm="1">
        <f t="array" ref="K155">_xlfn.IFS(K154&gt;= 70,"A",K154&gt;=60,"B",K154&gt;=50,"C",K154&gt;=45,"D",K154&gt;=40,"E",K154&lt;40,"F")</f>
        <v>D</v>
      </c>
      <c r="L155" s="50" t="str" cm="1">
        <f t="array" ref="L155">_xlfn.IFS(L154&gt;= 70,"A",L154&gt;=60,"B",L154&gt;=50,"C",L154&gt;=45,"D",L154&gt;=40,"E",L154&lt;40,"F")</f>
        <v>D</v>
      </c>
      <c r="M155" s="51" t="str" cm="1">
        <f t="array" ref="M155">_xlfn.IFS(M154&gt;= 70,"A",M154&gt;=60,"B",M154&gt;=50,"C",M154&gt;=45,"D",M154&gt;=40,"E",M154&lt;40,"F")</f>
        <v>D</v>
      </c>
      <c r="N155" s="51" t="str" cm="1">
        <f t="array" ref="N155">_xlfn.IFS(N154&gt;= 70,"A",N154&gt;=60,"B",N154&gt;=50,"C",N154&gt;=45,"D",N154&gt;=40,"E",N154&lt;40,"F")</f>
        <v>C</v>
      </c>
      <c r="O155" s="51" t="str" cm="1">
        <f t="array" ref="O155">_xlfn.IFS(O154&gt;= 70,"A",O154&gt;=60,"B",O154&gt;=50,"C",O154&gt;=45,"D",O154&gt;=40,"E",O154&lt;40,"F")</f>
        <v>C</v>
      </c>
      <c r="P155" s="51" t="str" cm="1">
        <f t="array" ref="P155">_xlfn.IFS(P154&gt;= 70,"A",P154&gt;=60,"B",P154&gt;=50,"C",P154&gt;=45,"D",P154&gt;=40,"E",P154&lt;40,"F")</f>
        <v>C</v>
      </c>
      <c r="Q155" s="51" t="str" cm="1">
        <f t="array" ref="Q155">_xlfn.IFS(Q154&gt;= 70,"A",Q154&gt;=60,"B",Q154&gt;=50,"C",Q154&gt;=45,"D",Q154&gt;=40,"E",Q154&lt;40,"F")</f>
        <v>C</v>
      </c>
      <c r="R155" s="51" t="str" cm="1">
        <f t="array" ref="R155">_xlfn.IFS(R154&gt;= 70,"A",R154&gt;=60,"B",R154&gt;=50,"C",R154&gt;=45,"D",R154&gt;=40,"E",R154&lt;40,"F")</f>
        <v>C</v>
      </c>
      <c r="S155" s="51" t="str" cm="1">
        <f t="array" ref="S155">_xlfn.IFS(S154&gt;= 70,"A",S154&gt;=60,"B",S154&gt;=50,"C",S154&gt;=45,"D",S154&gt;=40,"E",S154&lt;40,"F")</f>
        <v>C</v>
      </c>
      <c r="T155" s="51" t="str" cm="1">
        <f t="array" ref="T155">_xlfn.IFS(T154&gt;= 70,"A",T154&gt;=60,"B",T154&gt;=50,"C",T154&gt;=45,"D",T154&gt;=40,"E",T154&lt;40,"F")</f>
        <v>C</v>
      </c>
      <c r="U155" s="51" t="str" cm="1">
        <f t="array" ref="U155">_xlfn.IFS(U154&gt;= 70,"A",U154&gt;=60,"B",U154&gt;=50,"C",U154&gt;=45,"D",U154&gt;=40,"E",U154&lt;40,"F")</f>
        <v>C</v>
      </c>
      <c r="V155" s="51" t="str" cm="1">
        <f t="array" ref="V155">_xlfn.IFS(V154&gt;= 70,"A",V154&gt;=60,"B",V154&gt;=50,"C",V154&gt;=45,"D",V154&gt;=40,"E",V154&lt;40,"F")</f>
        <v>C</v>
      </c>
      <c r="W155" s="50" t="str" cm="1">
        <f t="array" ref="W155">_xlfn.IFS(W154&gt;= 70,"A",W154&gt;=60,"B",W154&gt;=50,"C",W154&gt;=45,"D",W154&gt;=40,"E",W154&lt;40,"F")</f>
        <v>C</v>
      </c>
      <c r="X155" s="7"/>
      <c r="Y155" s="7"/>
      <c r="Z155" s="7"/>
      <c r="AA155" s="7"/>
      <c r="AB155" s="7"/>
      <c r="AC155" s="7"/>
      <c r="AD155" s="7"/>
      <c r="AE155" s="7"/>
      <c r="AF155" s="7"/>
      <c r="AM155" s="56">
        <f t="shared" ref="AM155" si="293">SUMIFS($I$4:$W$4,I154:W154,"&gt;0")</f>
        <v>23</v>
      </c>
      <c r="AN155" s="47">
        <f t="shared" ref="AN155" si="294">(SUMIFS($I$4:$W$4,I154:W154,"&gt;0")-SUMIFS($I$4:$W$4,I155:W155,"F"))</f>
        <v>23</v>
      </c>
      <c r="AO155" s="56">
        <f t="shared" ref="AO155" si="295">SUMIFS($I$4:$W$4,I155:W155,"F")</f>
        <v>0</v>
      </c>
      <c r="AP155" s="76"/>
      <c r="AQ155" s="74"/>
      <c r="AR155" s="71"/>
    </row>
    <row r="156" spans="1:44" ht="15" thickTop="1" x14ac:dyDescent="0.3">
      <c r="A156" s="68">
        <v>76</v>
      </c>
      <c r="B156" s="70"/>
      <c r="C156" s="75"/>
      <c r="D156" s="84"/>
      <c r="E156" s="84"/>
      <c r="F156" s="84"/>
      <c r="G156" s="84"/>
      <c r="H156" s="85"/>
      <c r="I156" s="49">
        <v>56</v>
      </c>
      <c r="J156" s="49">
        <v>46</v>
      </c>
      <c r="K156" s="49">
        <v>47</v>
      </c>
      <c r="L156" s="49">
        <v>48</v>
      </c>
      <c r="M156" s="49">
        <v>49</v>
      </c>
      <c r="N156" s="49">
        <v>50</v>
      </c>
      <c r="O156" s="49">
        <v>51</v>
      </c>
      <c r="P156" s="49">
        <v>52</v>
      </c>
      <c r="Q156" s="49">
        <v>53</v>
      </c>
      <c r="R156" s="49">
        <v>54</v>
      </c>
      <c r="S156" s="49">
        <v>55</v>
      </c>
      <c r="T156" s="49">
        <v>56</v>
      </c>
      <c r="U156" s="49">
        <v>57</v>
      </c>
      <c r="V156" s="49">
        <v>58</v>
      </c>
      <c r="W156" s="49">
        <v>59</v>
      </c>
      <c r="X156" s="7"/>
      <c r="Y156" s="7"/>
      <c r="Z156" s="7"/>
      <c r="AA156" s="7"/>
      <c r="AB156" s="7"/>
      <c r="AC156" s="7"/>
      <c r="AD156" s="7"/>
      <c r="AE156" s="7"/>
      <c r="AF156" s="7"/>
      <c r="AM156" s="59"/>
      <c r="AN156" s="46"/>
      <c r="AO156" s="59"/>
      <c r="AP156" s="75" cm="1">
        <f t="array" ref="AP156">SUM(VLOOKUP(I157:W157,GRADEPOINT!$A$2:$B$7,2,0)*$I$4:$W$4)</f>
        <v>63</v>
      </c>
      <c r="AQ156" s="73">
        <f t="shared" ref="AQ156" si="296">ROUND(AP156/AM157,2)</f>
        <v>2.74</v>
      </c>
      <c r="AR156" s="72"/>
    </row>
    <row r="157" spans="1:44" ht="15" thickBot="1" x14ac:dyDescent="0.35">
      <c r="A157" s="69"/>
      <c r="B157" s="71"/>
      <c r="C157" s="86"/>
      <c r="D157" s="87"/>
      <c r="E157" s="87"/>
      <c r="F157" s="87"/>
      <c r="G157" s="87"/>
      <c r="H157" s="88"/>
      <c r="I157" s="51" t="str" cm="1">
        <f t="array" ref="I157">_xlfn.IFS(I156&gt;= 70,"A",I156&gt;=60,"B",I156&gt;=50,"C",I156&gt;=45,"D",I156&gt;=40,"E",I156&lt;40,"F")</f>
        <v>C</v>
      </c>
      <c r="J157" s="51" t="str" cm="1">
        <f t="array" ref="J157">_xlfn.IFS(J156&gt;= 70,"A",J156&gt;=60,"B",J156&gt;=50,"C",J156&gt;=45,"D",J156&gt;=40,"E",J156&lt;40,"F")</f>
        <v>D</v>
      </c>
      <c r="K157" s="51" t="str" cm="1">
        <f t="array" ref="K157">_xlfn.IFS(K156&gt;= 70,"A",K156&gt;=60,"B",K156&gt;=50,"C",K156&gt;=45,"D",K156&gt;=40,"E",K156&lt;40,"F")</f>
        <v>D</v>
      </c>
      <c r="L157" s="50" t="str" cm="1">
        <f t="array" ref="L157">_xlfn.IFS(L156&gt;= 70,"A",L156&gt;=60,"B",L156&gt;=50,"C",L156&gt;=45,"D",L156&gt;=40,"E",L156&lt;40,"F")</f>
        <v>D</v>
      </c>
      <c r="M157" s="51" t="str" cm="1">
        <f t="array" ref="M157">_xlfn.IFS(M156&gt;= 70,"A",M156&gt;=60,"B",M156&gt;=50,"C",M156&gt;=45,"D",M156&gt;=40,"E",M156&lt;40,"F")</f>
        <v>D</v>
      </c>
      <c r="N157" s="51" t="str" cm="1">
        <f t="array" ref="N157">_xlfn.IFS(N156&gt;= 70,"A",N156&gt;=60,"B",N156&gt;=50,"C",N156&gt;=45,"D",N156&gt;=40,"E",N156&lt;40,"F")</f>
        <v>C</v>
      </c>
      <c r="O157" s="51" t="str" cm="1">
        <f t="array" ref="O157">_xlfn.IFS(O156&gt;= 70,"A",O156&gt;=60,"B",O156&gt;=50,"C",O156&gt;=45,"D",O156&gt;=40,"E",O156&lt;40,"F")</f>
        <v>C</v>
      </c>
      <c r="P157" s="51" t="str" cm="1">
        <f t="array" ref="P157">_xlfn.IFS(P156&gt;= 70,"A",P156&gt;=60,"B",P156&gt;=50,"C",P156&gt;=45,"D",P156&gt;=40,"E",P156&lt;40,"F")</f>
        <v>C</v>
      </c>
      <c r="Q157" s="51" t="str" cm="1">
        <f t="array" ref="Q157">_xlfn.IFS(Q156&gt;= 70,"A",Q156&gt;=60,"B",Q156&gt;=50,"C",Q156&gt;=45,"D",Q156&gt;=40,"E",Q156&lt;40,"F")</f>
        <v>C</v>
      </c>
      <c r="R157" s="51" t="str" cm="1">
        <f t="array" ref="R157">_xlfn.IFS(R156&gt;= 70,"A",R156&gt;=60,"B",R156&gt;=50,"C",R156&gt;=45,"D",R156&gt;=40,"E",R156&lt;40,"F")</f>
        <v>C</v>
      </c>
      <c r="S157" s="51" t="str" cm="1">
        <f t="array" ref="S157">_xlfn.IFS(S156&gt;= 70,"A",S156&gt;=60,"B",S156&gt;=50,"C",S156&gt;=45,"D",S156&gt;=40,"E",S156&lt;40,"F")</f>
        <v>C</v>
      </c>
      <c r="T157" s="51" t="str" cm="1">
        <f t="array" ref="T157">_xlfn.IFS(T156&gt;= 70,"A",T156&gt;=60,"B",T156&gt;=50,"C",T156&gt;=45,"D",T156&gt;=40,"E",T156&lt;40,"F")</f>
        <v>C</v>
      </c>
      <c r="U157" s="51" t="str" cm="1">
        <f t="array" ref="U157">_xlfn.IFS(U156&gt;= 70,"A",U156&gt;=60,"B",U156&gt;=50,"C",U156&gt;=45,"D",U156&gt;=40,"E",U156&lt;40,"F")</f>
        <v>C</v>
      </c>
      <c r="V157" s="51" t="str" cm="1">
        <f t="array" ref="V157">_xlfn.IFS(V156&gt;= 70,"A",V156&gt;=60,"B",V156&gt;=50,"C",V156&gt;=45,"D",V156&gt;=40,"E",V156&lt;40,"F")</f>
        <v>C</v>
      </c>
      <c r="W157" s="50" t="str" cm="1">
        <f t="array" ref="W157">_xlfn.IFS(W156&gt;= 70,"A",W156&gt;=60,"B",W156&gt;=50,"C",W156&gt;=45,"D",W156&gt;=40,"E",W156&lt;40,"F")</f>
        <v>C</v>
      </c>
      <c r="X157" s="7"/>
      <c r="Y157" s="7"/>
      <c r="Z157" s="7"/>
      <c r="AA157" s="7"/>
      <c r="AB157" s="7"/>
      <c r="AC157" s="7"/>
      <c r="AD157" s="7"/>
      <c r="AE157" s="7"/>
      <c r="AF157" s="7"/>
      <c r="AM157" s="56">
        <f t="shared" ref="AM157" si="297">SUMIFS($I$4:$W$4,I156:W156,"&gt;0")</f>
        <v>23</v>
      </c>
      <c r="AN157" s="47">
        <f t="shared" ref="AN157" si="298">(SUMIFS($I$4:$W$4,I156:W156,"&gt;0")-SUMIFS($I$4:$W$4,I157:W157,"F"))</f>
        <v>23</v>
      </c>
      <c r="AO157" s="56">
        <f t="shared" ref="AO157" si="299">SUMIFS($I$4:$W$4,I157:W157,"F")</f>
        <v>0</v>
      </c>
      <c r="AP157" s="76"/>
      <c r="AQ157" s="74"/>
      <c r="AR157" s="71"/>
    </row>
    <row r="158" spans="1:44" ht="15" thickTop="1" x14ac:dyDescent="0.3">
      <c r="A158" s="68">
        <v>77</v>
      </c>
      <c r="B158" s="70"/>
      <c r="C158" s="75"/>
      <c r="D158" s="84"/>
      <c r="E158" s="84"/>
      <c r="F158" s="84"/>
      <c r="G158" s="84"/>
      <c r="H158" s="85"/>
      <c r="I158" s="49">
        <v>56</v>
      </c>
      <c r="J158" s="49">
        <v>46</v>
      </c>
      <c r="K158" s="49">
        <v>47</v>
      </c>
      <c r="L158" s="49">
        <v>48</v>
      </c>
      <c r="M158" s="49">
        <v>49</v>
      </c>
      <c r="N158" s="49">
        <v>50</v>
      </c>
      <c r="O158" s="49">
        <v>51</v>
      </c>
      <c r="P158" s="49">
        <v>52</v>
      </c>
      <c r="Q158" s="49">
        <v>53</v>
      </c>
      <c r="R158" s="49">
        <v>54</v>
      </c>
      <c r="S158" s="49">
        <v>55</v>
      </c>
      <c r="T158" s="49">
        <v>56</v>
      </c>
      <c r="U158" s="49">
        <v>57</v>
      </c>
      <c r="V158" s="49">
        <v>58</v>
      </c>
      <c r="W158" s="49">
        <v>59</v>
      </c>
      <c r="X158" s="7"/>
      <c r="Y158" s="7"/>
      <c r="Z158" s="7"/>
      <c r="AA158" s="7"/>
      <c r="AB158" s="7"/>
      <c r="AC158" s="7"/>
      <c r="AD158" s="7"/>
      <c r="AE158" s="7"/>
      <c r="AF158" s="7"/>
      <c r="AM158" s="59"/>
      <c r="AN158" s="46"/>
      <c r="AO158" s="59"/>
      <c r="AP158" s="75" cm="1">
        <f t="array" ref="AP158">SUM(VLOOKUP(I159:W159,GRADEPOINT!$A$2:$B$7,2,0)*$I$4:$W$4)</f>
        <v>63</v>
      </c>
      <c r="AQ158" s="73">
        <f t="shared" ref="AQ158" si="300">ROUND(AP158/AM159,2)</f>
        <v>2.74</v>
      </c>
      <c r="AR158" s="72"/>
    </row>
    <row r="159" spans="1:44" ht="15" thickBot="1" x14ac:dyDescent="0.35">
      <c r="A159" s="69"/>
      <c r="B159" s="71"/>
      <c r="C159" s="86"/>
      <c r="D159" s="87"/>
      <c r="E159" s="87"/>
      <c r="F159" s="87"/>
      <c r="G159" s="87"/>
      <c r="H159" s="88"/>
      <c r="I159" s="51" t="str" cm="1">
        <f t="array" ref="I159">_xlfn.IFS(I158&gt;= 70,"A",I158&gt;=60,"B",I158&gt;=50,"C",I158&gt;=45,"D",I158&gt;=40,"E",I158&lt;40,"F")</f>
        <v>C</v>
      </c>
      <c r="J159" s="51" t="str" cm="1">
        <f t="array" ref="J159">_xlfn.IFS(J158&gt;= 70,"A",J158&gt;=60,"B",J158&gt;=50,"C",J158&gt;=45,"D",J158&gt;=40,"E",J158&lt;40,"F")</f>
        <v>D</v>
      </c>
      <c r="K159" s="51" t="str" cm="1">
        <f t="array" ref="K159">_xlfn.IFS(K158&gt;= 70,"A",K158&gt;=60,"B",K158&gt;=50,"C",K158&gt;=45,"D",K158&gt;=40,"E",K158&lt;40,"F")</f>
        <v>D</v>
      </c>
      <c r="L159" s="50" t="str" cm="1">
        <f t="array" ref="L159">_xlfn.IFS(L158&gt;= 70,"A",L158&gt;=60,"B",L158&gt;=50,"C",L158&gt;=45,"D",L158&gt;=40,"E",L158&lt;40,"F")</f>
        <v>D</v>
      </c>
      <c r="M159" s="51" t="str" cm="1">
        <f t="array" ref="M159">_xlfn.IFS(M158&gt;= 70,"A",M158&gt;=60,"B",M158&gt;=50,"C",M158&gt;=45,"D",M158&gt;=40,"E",M158&lt;40,"F")</f>
        <v>D</v>
      </c>
      <c r="N159" s="51" t="str" cm="1">
        <f t="array" ref="N159">_xlfn.IFS(N158&gt;= 70,"A",N158&gt;=60,"B",N158&gt;=50,"C",N158&gt;=45,"D",N158&gt;=40,"E",N158&lt;40,"F")</f>
        <v>C</v>
      </c>
      <c r="O159" s="51" t="str" cm="1">
        <f t="array" ref="O159">_xlfn.IFS(O158&gt;= 70,"A",O158&gt;=60,"B",O158&gt;=50,"C",O158&gt;=45,"D",O158&gt;=40,"E",O158&lt;40,"F")</f>
        <v>C</v>
      </c>
      <c r="P159" s="51" t="str" cm="1">
        <f t="array" ref="P159">_xlfn.IFS(P158&gt;= 70,"A",P158&gt;=60,"B",P158&gt;=50,"C",P158&gt;=45,"D",P158&gt;=40,"E",P158&lt;40,"F")</f>
        <v>C</v>
      </c>
      <c r="Q159" s="51" t="str" cm="1">
        <f t="array" ref="Q159">_xlfn.IFS(Q158&gt;= 70,"A",Q158&gt;=60,"B",Q158&gt;=50,"C",Q158&gt;=45,"D",Q158&gt;=40,"E",Q158&lt;40,"F")</f>
        <v>C</v>
      </c>
      <c r="R159" s="51" t="str" cm="1">
        <f t="array" ref="R159">_xlfn.IFS(R158&gt;= 70,"A",R158&gt;=60,"B",R158&gt;=50,"C",R158&gt;=45,"D",R158&gt;=40,"E",R158&lt;40,"F")</f>
        <v>C</v>
      </c>
      <c r="S159" s="51" t="str" cm="1">
        <f t="array" ref="S159">_xlfn.IFS(S158&gt;= 70,"A",S158&gt;=60,"B",S158&gt;=50,"C",S158&gt;=45,"D",S158&gt;=40,"E",S158&lt;40,"F")</f>
        <v>C</v>
      </c>
      <c r="T159" s="51" t="str" cm="1">
        <f t="array" ref="T159">_xlfn.IFS(T158&gt;= 70,"A",T158&gt;=60,"B",T158&gt;=50,"C",T158&gt;=45,"D",T158&gt;=40,"E",T158&lt;40,"F")</f>
        <v>C</v>
      </c>
      <c r="U159" s="51" t="str" cm="1">
        <f t="array" ref="U159">_xlfn.IFS(U158&gt;= 70,"A",U158&gt;=60,"B",U158&gt;=50,"C",U158&gt;=45,"D",U158&gt;=40,"E",U158&lt;40,"F")</f>
        <v>C</v>
      </c>
      <c r="V159" s="51" t="str" cm="1">
        <f t="array" ref="V159">_xlfn.IFS(V158&gt;= 70,"A",V158&gt;=60,"B",V158&gt;=50,"C",V158&gt;=45,"D",V158&gt;=40,"E",V158&lt;40,"F")</f>
        <v>C</v>
      </c>
      <c r="W159" s="50" t="str" cm="1">
        <f t="array" ref="W159">_xlfn.IFS(W158&gt;= 70,"A",W158&gt;=60,"B",W158&gt;=50,"C",W158&gt;=45,"D",W158&gt;=40,"E",W158&lt;40,"F")</f>
        <v>C</v>
      </c>
      <c r="X159" s="7"/>
      <c r="Y159" s="7"/>
      <c r="Z159" s="7"/>
      <c r="AA159" s="7"/>
      <c r="AB159" s="7"/>
      <c r="AC159" s="7"/>
      <c r="AD159" s="7"/>
      <c r="AE159" s="7"/>
      <c r="AF159" s="7"/>
      <c r="AM159" s="56">
        <f t="shared" ref="AM159" si="301">SUMIFS($I$4:$W$4,I158:W158,"&gt;0")</f>
        <v>23</v>
      </c>
      <c r="AN159" s="47">
        <f t="shared" ref="AN159" si="302">(SUMIFS($I$4:$W$4,I158:W158,"&gt;0")-SUMIFS($I$4:$W$4,I159:W159,"F"))</f>
        <v>23</v>
      </c>
      <c r="AO159" s="56">
        <f t="shared" ref="AO159" si="303">SUMIFS($I$4:$W$4,I159:W159,"F")</f>
        <v>0</v>
      </c>
      <c r="AP159" s="76"/>
      <c r="AQ159" s="74"/>
      <c r="AR159" s="71"/>
    </row>
    <row r="160" spans="1:44" ht="15" thickTop="1" x14ac:dyDescent="0.3">
      <c r="A160" s="68">
        <v>78</v>
      </c>
      <c r="B160" s="70"/>
      <c r="C160" s="75"/>
      <c r="D160" s="84"/>
      <c r="E160" s="84"/>
      <c r="F160" s="84"/>
      <c r="G160" s="84"/>
      <c r="H160" s="85"/>
      <c r="I160" s="49">
        <v>56</v>
      </c>
      <c r="J160" s="49">
        <v>46</v>
      </c>
      <c r="K160" s="49">
        <v>47</v>
      </c>
      <c r="L160" s="49">
        <v>48</v>
      </c>
      <c r="M160" s="49">
        <v>49</v>
      </c>
      <c r="N160" s="49">
        <v>50</v>
      </c>
      <c r="O160" s="49">
        <v>51</v>
      </c>
      <c r="P160" s="49">
        <v>52</v>
      </c>
      <c r="Q160" s="49">
        <v>53</v>
      </c>
      <c r="R160" s="49">
        <v>54</v>
      </c>
      <c r="S160" s="49">
        <v>55</v>
      </c>
      <c r="T160" s="49">
        <v>56</v>
      </c>
      <c r="U160" s="49">
        <v>57</v>
      </c>
      <c r="V160" s="49">
        <v>58</v>
      </c>
      <c r="W160" s="49">
        <v>59</v>
      </c>
      <c r="X160" s="7"/>
      <c r="Y160" s="7"/>
      <c r="Z160" s="7"/>
      <c r="AA160" s="7"/>
      <c r="AB160" s="7"/>
      <c r="AC160" s="7"/>
      <c r="AD160" s="7"/>
      <c r="AE160" s="7"/>
      <c r="AF160" s="7"/>
      <c r="AM160" s="59"/>
      <c r="AN160" s="46"/>
      <c r="AO160" s="59"/>
      <c r="AP160" s="75" cm="1">
        <f t="array" ref="AP160">SUM(VLOOKUP(I161:W161,GRADEPOINT!$A$2:$B$7,2,0)*$I$4:$W$4)</f>
        <v>63</v>
      </c>
      <c r="AQ160" s="73">
        <f t="shared" ref="AQ160" si="304">ROUND(AP160/AM161,2)</f>
        <v>2.74</v>
      </c>
      <c r="AR160" s="72"/>
    </row>
    <row r="161" spans="1:44" ht="15" thickBot="1" x14ac:dyDescent="0.35">
      <c r="A161" s="69"/>
      <c r="B161" s="71"/>
      <c r="C161" s="86"/>
      <c r="D161" s="87"/>
      <c r="E161" s="87"/>
      <c r="F161" s="87"/>
      <c r="G161" s="87"/>
      <c r="H161" s="88"/>
      <c r="I161" s="51" t="str" cm="1">
        <f t="array" ref="I161">_xlfn.IFS(I160&gt;= 70,"A",I160&gt;=60,"B",I160&gt;=50,"C",I160&gt;=45,"D",I160&gt;=40,"E",I160&lt;40,"F")</f>
        <v>C</v>
      </c>
      <c r="J161" s="51" t="str" cm="1">
        <f t="array" ref="J161">_xlfn.IFS(J160&gt;= 70,"A",J160&gt;=60,"B",J160&gt;=50,"C",J160&gt;=45,"D",J160&gt;=40,"E",J160&lt;40,"F")</f>
        <v>D</v>
      </c>
      <c r="K161" s="51" t="str" cm="1">
        <f t="array" ref="K161">_xlfn.IFS(K160&gt;= 70,"A",K160&gt;=60,"B",K160&gt;=50,"C",K160&gt;=45,"D",K160&gt;=40,"E",K160&lt;40,"F")</f>
        <v>D</v>
      </c>
      <c r="L161" s="50" t="str" cm="1">
        <f t="array" ref="L161">_xlfn.IFS(L160&gt;= 70,"A",L160&gt;=60,"B",L160&gt;=50,"C",L160&gt;=45,"D",L160&gt;=40,"E",L160&lt;40,"F")</f>
        <v>D</v>
      </c>
      <c r="M161" s="51" t="str" cm="1">
        <f t="array" ref="M161">_xlfn.IFS(M160&gt;= 70,"A",M160&gt;=60,"B",M160&gt;=50,"C",M160&gt;=45,"D",M160&gt;=40,"E",M160&lt;40,"F")</f>
        <v>D</v>
      </c>
      <c r="N161" s="51" t="str" cm="1">
        <f t="array" ref="N161">_xlfn.IFS(N160&gt;= 70,"A",N160&gt;=60,"B",N160&gt;=50,"C",N160&gt;=45,"D",N160&gt;=40,"E",N160&lt;40,"F")</f>
        <v>C</v>
      </c>
      <c r="O161" s="51" t="str" cm="1">
        <f t="array" ref="O161">_xlfn.IFS(O160&gt;= 70,"A",O160&gt;=60,"B",O160&gt;=50,"C",O160&gt;=45,"D",O160&gt;=40,"E",O160&lt;40,"F")</f>
        <v>C</v>
      </c>
      <c r="P161" s="51" t="str" cm="1">
        <f t="array" ref="P161">_xlfn.IFS(P160&gt;= 70,"A",P160&gt;=60,"B",P160&gt;=50,"C",P160&gt;=45,"D",P160&gt;=40,"E",P160&lt;40,"F")</f>
        <v>C</v>
      </c>
      <c r="Q161" s="51" t="str" cm="1">
        <f t="array" ref="Q161">_xlfn.IFS(Q160&gt;= 70,"A",Q160&gt;=60,"B",Q160&gt;=50,"C",Q160&gt;=45,"D",Q160&gt;=40,"E",Q160&lt;40,"F")</f>
        <v>C</v>
      </c>
      <c r="R161" s="51" t="str" cm="1">
        <f t="array" ref="R161">_xlfn.IFS(R160&gt;= 70,"A",R160&gt;=60,"B",R160&gt;=50,"C",R160&gt;=45,"D",R160&gt;=40,"E",R160&lt;40,"F")</f>
        <v>C</v>
      </c>
      <c r="S161" s="51" t="str" cm="1">
        <f t="array" ref="S161">_xlfn.IFS(S160&gt;= 70,"A",S160&gt;=60,"B",S160&gt;=50,"C",S160&gt;=45,"D",S160&gt;=40,"E",S160&lt;40,"F")</f>
        <v>C</v>
      </c>
      <c r="T161" s="51" t="str" cm="1">
        <f t="array" ref="T161">_xlfn.IFS(T160&gt;= 70,"A",T160&gt;=60,"B",T160&gt;=50,"C",T160&gt;=45,"D",T160&gt;=40,"E",T160&lt;40,"F")</f>
        <v>C</v>
      </c>
      <c r="U161" s="51" t="str" cm="1">
        <f t="array" ref="U161">_xlfn.IFS(U160&gt;= 70,"A",U160&gt;=60,"B",U160&gt;=50,"C",U160&gt;=45,"D",U160&gt;=40,"E",U160&lt;40,"F")</f>
        <v>C</v>
      </c>
      <c r="V161" s="51" t="str" cm="1">
        <f t="array" ref="V161">_xlfn.IFS(V160&gt;= 70,"A",V160&gt;=60,"B",V160&gt;=50,"C",V160&gt;=45,"D",V160&gt;=40,"E",V160&lt;40,"F")</f>
        <v>C</v>
      </c>
      <c r="W161" s="50" t="str" cm="1">
        <f t="array" ref="W161">_xlfn.IFS(W160&gt;= 70,"A",W160&gt;=60,"B",W160&gt;=50,"C",W160&gt;=45,"D",W160&gt;=40,"E",W160&lt;40,"F")</f>
        <v>C</v>
      </c>
      <c r="X161" s="7"/>
      <c r="Y161" s="7"/>
      <c r="Z161" s="7"/>
      <c r="AA161" s="7"/>
      <c r="AB161" s="7"/>
      <c r="AC161" s="7"/>
      <c r="AD161" s="7"/>
      <c r="AE161" s="7"/>
      <c r="AF161" s="7"/>
      <c r="AM161" s="56">
        <f t="shared" ref="AM161" si="305">SUMIFS($I$4:$W$4,I160:W160,"&gt;0")</f>
        <v>23</v>
      </c>
      <c r="AN161" s="47">
        <f t="shared" ref="AN161" si="306">(SUMIFS($I$4:$W$4,I160:W160,"&gt;0")-SUMIFS($I$4:$W$4,I161:W161,"F"))</f>
        <v>23</v>
      </c>
      <c r="AO161" s="56">
        <f t="shared" ref="AO161" si="307">SUMIFS($I$4:$W$4,I161:W161,"F")</f>
        <v>0</v>
      </c>
      <c r="AP161" s="76"/>
      <c r="AQ161" s="74"/>
      <c r="AR161" s="71"/>
    </row>
    <row r="162" spans="1:44" ht="15" thickTop="1" x14ac:dyDescent="0.3">
      <c r="A162" s="68">
        <v>79</v>
      </c>
      <c r="B162" s="70"/>
      <c r="C162" s="75"/>
      <c r="D162" s="84"/>
      <c r="E162" s="84"/>
      <c r="F162" s="84"/>
      <c r="G162" s="84"/>
      <c r="H162" s="85"/>
      <c r="I162" s="49">
        <v>56</v>
      </c>
      <c r="J162" s="49">
        <v>46</v>
      </c>
      <c r="K162" s="49">
        <v>47</v>
      </c>
      <c r="L162" s="49">
        <v>48</v>
      </c>
      <c r="M162" s="49">
        <v>49</v>
      </c>
      <c r="N162" s="49">
        <v>50</v>
      </c>
      <c r="O162" s="49">
        <v>51</v>
      </c>
      <c r="P162" s="49">
        <v>52</v>
      </c>
      <c r="Q162" s="49">
        <v>53</v>
      </c>
      <c r="R162" s="49">
        <v>54</v>
      </c>
      <c r="S162" s="49">
        <v>55</v>
      </c>
      <c r="T162" s="49">
        <v>56</v>
      </c>
      <c r="U162" s="49">
        <v>57</v>
      </c>
      <c r="V162" s="49">
        <v>58</v>
      </c>
      <c r="W162" s="49">
        <v>59</v>
      </c>
      <c r="X162" s="7"/>
      <c r="Y162" s="7"/>
      <c r="Z162" s="7"/>
      <c r="AA162" s="7"/>
      <c r="AB162" s="7"/>
      <c r="AC162" s="7"/>
      <c r="AD162" s="7"/>
      <c r="AE162" s="7"/>
      <c r="AF162" s="7"/>
      <c r="AM162" s="59"/>
      <c r="AN162" s="46"/>
      <c r="AO162" s="59"/>
      <c r="AP162" s="75" cm="1">
        <f t="array" ref="AP162">SUM(VLOOKUP(I163:W163,GRADEPOINT!$A$2:$B$7,2,0)*$I$4:$W$4)</f>
        <v>63</v>
      </c>
      <c r="AQ162" s="73">
        <f t="shared" ref="AQ162" si="308">ROUND(AP162/AM163,2)</f>
        <v>2.74</v>
      </c>
      <c r="AR162" s="72"/>
    </row>
    <row r="163" spans="1:44" ht="15" thickBot="1" x14ac:dyDescent="0.35">
      <c r="A163" s="69"/>
      <c r="B163" s="71"/>
      <c r="C163" s="86"/>
      <c r="D163" s="87"/>
      <c r="E163" s="87"/>
      <c r="F163" s="87"/>
      <c r="G163" s="87"/>
      <c r="H163" s="88"/>
      <c r="I163" s="51" t="str" cm="1">
        <f t="array" ref="I163">_xlfn.IFS(I162&gt;= 70,"A",I162&gt;=60,"B",I162&gt;=50,"C",I162&gt;=45,"D",I162&gt;=40,"E",I162&lt;40,"F")</f>
        <v>C</v>
      </c>
      <c r="J163" s="51" t="str" cm="1">
        <f t="array" ref="J163">_xlfn.IFS(J162&gt;= 70,"A",J162&gt;=60,"B",J162&gt;=50,"C",J162&gt;=45,"D",J162&gt;=40,"E",J162&lt;40,"F")</f>
        <v>D</v>
      </c>
      <c r="K163" s="51" t="str" cm="1">
        <f t="array" ref="K163">_xlfn.IFS(K162&gt;= 70,"A",K162&gt;=60,"B",K162&gt;=50,"C",K162&gt;=45,"D",K162&gt;=40,"E",K162&lt;40,"F")</f>
        <v>D</v>
      </c>
      <c r="L163" s="50" t="str" cm="1">
        <f t="array" ref="L163">_xlfn.IFS(L162&gt;= 70,"A",L162&gt;=60,"B",L162&gt;=50,"C",L162&gt;=45,"D",L162&gt;=40,"E",L162&lt;40,"F")</f>
        <v>D</v>
      </c>
      <c r="M163" s="51" t="str" cm="1">
        <f t="array" ref="M163">_xlfn.IFS(M162&gt;= 70,"A",M162&gt;=60,"B",M162&gt;=50,"C",M162&gt;=45,"D",M162&gt;=40,"E",M162&lt;40,"F")</f>
        <v>D</v>
      </c>
      <c r="N163" s="51" t="str" cm="1">
        <f t="array" ref="N163">_xlfn.IFS(N162&gt;= 70,"A",N162&gt;=60,"B",N162&gt;=50,"C",N162&gt;=45,"D",N162&gt;=40,"E",N162&lt;40,"F")</f>
        <v>C</v>
      </c>
      <c r="O163" s="51" t="str" cm="1">
        <f t="array" ref="O163">_xlfn.IFS(O162&gt;= 70,"A",O162&gt;=60,"B",O162&gt;=50,"C",O162&gt;=45,"D",O162&gt;=40,"E",O162&lt;40,"F")</f>
        <v>C</v>
      </c>
      <c r="P163" s="51" t="str" cm="1">
        <f t="array" ref="P163">_xlfn.IFS(P162&gt;= 70,"A",P162&gt;=60,"B",P162&gt;=50,"C",P162&gt;=45,"D",P162&gt;=40,"E",P162&lt;40,"F")</f>
        <v>C</v>
      </c>
      <c r="Q163" s="51" t="str" cm="1">
        <f t="array" ref="Q163">_xlfn.IFS(Q162&gt;= 70,"A",Q162&gt;=60,"B",Q162&gt;=50,"C",Q162&gt;=45,"D",Q162&gt;=40,"E",Q162&lt;40,"F")</f>
        <v>C</v>
      </c>
      <c r="R163" s="51" t="str" cm="1">
        <f t="array" ref="R163">_xlfn.IFS(R162&gt;= 70,"A",R162&gt;=60,"B",R162&gt;=50,"C",R162&gt;=45,"D",R162&gt;=40,"E",R162&lt;40,"F")</f>
        <v>C</v>
      </c>
      <c r="S163" s="51" t="str" cm="1">
        <f t="array" ref="S163">_xlfn.IFS(S162&gt;= 70,"A",S162&gt;=60,"B",S162&gt;=50,"C",S162&gt;=45,"D",S162&gt;=40,"E",S162&lt;40,"F")</f>
        <v>C</v>
      </c>
      <c r="T163" s="51" t="str" cm="1">
        <f t="array" ref="T163">_xlfn.IFS(T162&gt;= 70,"A",T162&gt;=60,"B",T162&gt;=50,"C",T162&gt;=45,"D",T162&gt;=40,"E",T162&lt;40,"F")</f>
        <v>C</v>
      </c>
      <c r="U163" s="51" t="str" cm="1">
        <f t="array" ref="U163">_xlfn.IFS(U162&gt;= 70,"A",U162&gt;=60,"B",U162&gt;=50,"C",U162&gt;=45,"D",U162&gt;=40,"E",U162&lt;40,"F")</f>
        <v>C</v>
      </c>
      <c r="V163" s="51" t="str" cm="1">
        <f t="array" ref="V163">_xlfn.IFS(V162&gt;= 70,"A",V162&gt;=60,"B",V162&gt;=50,"C",V162&gt;=45,"D",V162&gt;=40,"E",V162&lt;40,"F")</f>
        <v>C</v>
      </c>
      <c r="W163" s="50" t="str" cm="1">
        <f t="array" ref="W163">_xlfn.IFS(W162&gt;= 70,"A",W162&gt;=60,"B",W162&gt;=50,"C",W162&gt;=45,"D",W162&gt;=40,"E",W162&lt;40,"F")</f>
        <v>C</v>
      </c>
      <c r="X163" s="7"/>
      <c r="Y163" s="7"/>
      <c r="Z163" s="7"/>
      <c r="AA163" s="7"/>
      <c r="AB163" s="7"/>
      <c r="AC163" s="7"/>
      <c r="AD163" s="7"/>
      <c r="AE163" s="7"/>
      <c r="AF163" s="7"/>
      <c r="AM163" s="56">
        <f t="shared" ref="AM163" si="309">SUMIFS($I$4:$W$4,I162:W162,"&gt;0")</f>
        <v>23</v>
      </c>
      <c r="AN163" s="47">
        <f t="shared" ref="AN163" si="310">(SUMIFS($I$4:$W$4,I162:W162,"&gt;0")-SUMIFS($I$4:$W$4,I163:W163,"F"))</f>
        <v>23</v>
      </c>
      <c r="AO163" s="56">
        <f t="shared" ref="AO163" si="311">SUMIFS($I$4:$W$4,I163:W163,"F")</f>
        <v>0</v>
      </c>
      <c r="AP163" s="76"/>
      <c r="AQ163" s="74"/>
      <c r="AR163" s="71"/>
    </row>
    <row r="164" spans="1:44" ht="15" thickTop="1" x14ac:dyDescent="0.3">
      <c r="A164" s="68">
        <v>80</v>
      </c>
      <c r="B164" s="70"/>
      <c r="C164" s="75"/>
      <c r="D164" s="84"/>
      <c r="E164" s="84"/>
      <c r="F164" s="84"/>
      <c r="G164" s="84"/>
      <c r="H164" s="85"/>
      <c r="I164" s="49">
        <v>56</v>
      </c>
      <c r="J164" s="49">
        <v>46</v>
      </c>
      <c r="K164" s="49">
        <v>47</v>
      </c>
      <c r="L164" s="49">
        <v>48</v>
      </c>
      <c r="M164" s="49">
        <v>49</v>
      </c>
      <c r="N164" s="49">
        <v>50</v>
      </c>
      <c r="O164" s="49">
        <v>51</v>
      </c>
      <c r="P164" s="49">
        <v>52</v>
      </c>
      <c r="Q164" s="49">
        <v>53</v>
      </c>
      <c r="R164" s="49">
        <v>54</v>
      </c>
      <c r="S164" s="49">
        <v>55</v>
      </c>
      <c r="T164" s="49">
        <v>56</v>
      </c>
      <c r="U164" s="49">
        <v>57</v>
      </c>
      <c r="V164" s="49">
        <v>58</v>
      </c>
      <c r="W164" s="49">
        <v>59</v>
      </c>
      <c r="X164" s="7"/>
      <c r="Y164" s="7"/>
      <c r="Z164" s="7"/>
      <c r="AA164" s="7"/>
      <c r="AB164" s="7"/>
      <c r="AC164" s="7"/>
      <c r="AD164" s="7"/>
      <c r="AE164" s="7"/>
      <c r="AF164" s="7"/>
      <c r="AM164" s="59"/>
      <c r="AN164" s="46"/>
      <c r="AO164" s="59"/>
      <c r="AP164" s="75" cm="1">
        <f t="array" ref="AP164">SUM(VLOOKUP(I165:W165,GRADEPOINT!$A$2:$B$7,2,0)*$I$4:$W$4)</f>
        <v>63</v>
      </c>
      <c r="AQ164" s="73">
        <f t="shared" ref="AQ164" si="312">ROUND(AP164/AM165,2)</f>
        <v>2.74</v>
      </c>
      <c r="AR164" s="72"/>
    </row>
    <row r="165" spans="1:44" ht="15" thickBot="1" x14ac:dyDescent="0.35">
      <c r="A165" s="69"/>
      <c r="B165" s="71"/>
      <c r="C165" s="86"/>
      <c r="D165" s="87"/>
      <c r="E165" s="87"/>
      <c r="F165" s="87"/>
      <c r="G165" s="87"/>
      <c r="H165" s="88"/>
      <c r="I165" s="51" t="str" cm="1">
        <f t="array" ref="I165">_xlfn.IFS(I164&gt;= 70,"A",I164&gt;=60,"B",I164&gt;=50,"C",I164&gt;=45,"D",I164&gt;=40,"E",I164&lt;40,"F")</f>
        <v>C</v>
      </c>
      <c r="J165" s="51" t="str" cm="1">
        <f t="array" ref="J165">_xlfn.IFS(J164&gt;= 70,"A",J164&gt;=60,"B",J164&gt;=50,"C",J164&gt;=45,"D",J164&gt;=40,"E",J164&lt;40,"F")</f>
        <v>D</v>
      </c>
      <c r="K165" s="51" t="str" cm="1">
        <f t="array" ref="K165">_xlfn.IFS(K164&gt;= 70,"A",K164&gt;=60,"B",K164&gt;=50,"C",K164&gt;=45,"D",K164&gt;=40,"E",K164&lt;40,"F")</f>
        <v>D</v>
      </c>
      <c r="L165" s="50" t="str" cm="1">
        <f t="array" ref="L165">_xlfn.IFS(L164&gt;= 70,"A",L164&gt;=60,"B",L164&gt;=50,"C",L164&gt;=45,"D",L164&gt;=40,"E",L164&lt;40,"F")</f>
        <v>D</v>
      </c>
      <c r="M165" s="51" t="str" cm="1">
        <f t="array" ref="M165">_xlfn.IFS(M164&gt;= 70,"A",M164&gt;=60,"B",M164&gt;=50,"C",M164&gt;=45,"D",M164&gt;=40,"E",M164&lt;40,"F")</f>
        <v>D</v>
      </c>
      <c r="N165" s="51" t="str" cm="1">
        <f t="array" ref="N165">_xlfn.IFS(N164&gt;= 70,"A",N164&gt;=60,"B",N164&gt;=50,"C",N164&gt;=45,"D",N164&gt;=40,"E",N164&lt;40,"F")</f>
        <v>C</v>
      </c>
      <c r="O165" s="51" t="str" cm="1">
        <f t="array" ref="O165">_xlfn.IFS(O164&gt;= 70,"A",O164&gt;=60,"B",O164&gt;=50,"C",O164&gt;=45,"D",O164&gt;=40,"E",O164&lt;40,"F")</f>
        <v>C</v>
      </c>
      <c r="P165" s="51" t="str" cm="1">
        <f t="array" ref="P165">_xlfn.IFS(P164&gt;= 70,"A",P164&gt;=60,"B",P164&gt;=50,"C",P164&gt;=45,"D",P164&gt;=40,"E",P164&lt;40,"F")</f>
        <v>C</v>
      </c>
      <c r="Q165" s="51" t="str" cm="1">
        <f t="array" ref="Q165">_xlfn.IFS(Q164&gt;= 70,"A",Q164&gt;=60,"B",Q164&gt;=50,"C",Q164&gt;=45,"D",Q164&gt;=40,"E",Q164&lt;40,"F")</f>
        <v>C</v>
      </c>
      <c r="R165" s="51" t="str" cm="1">
        <f t="array" ref="R165">_xlfn.IFS(R164&gt;= 70,"A",R164&gt;=60,"B",R164&gt;=50,"C",R164&gt;=45,"D",R164&gt;=40,"E",R164&lt;40,"F")</f>
        <v>C</v>
      </c>
      <c r="S165" s="51" t="str" cm="1">
        <f t="array" ref="S165">_xlfn.IFS(S164&gt;= 70,"A",S164&gt;=60,"B",S164&gt;=50,"C",S164&gt;=45,"D",S164&gt;=40,"E",S164&lt;40,"F")</f>
        <v>C</v>
      </c>
      <c r="T165" s="51" t="str" cm="1">
        <f t="array" ref="T165">_xlfn.IFS(T164&gt;= 70,"A",T164&gt;=60,"B",T164&gt;=50,"C",T164&gt;=45,"D",T164&gt;=40,"E",T164&lt;40,"F")</f>
        <v>C</v>
      </c>
      <c r="U165" s="51" t="str" cm="1">
        <f t="array" ref="U165">_xlfn.IFS(U164&gt;= 70,"A",U164&gt;=60,"B",U164&gt;=50,"C",U164&gt;=45,"D",U164&gt;=40,"E",U164&lt;40,"F")</f>
        <v>C</v>
      </c>
      <c r="V165" s="51" t="str" cm="1">
        <f t="array" ref="V165">_xlfn.IFS(V164&gt;= 70,"A",V164&gt;=60,"B",V164&gt;=50,"C",V164&gt;=45,"D",V164&gt;=40,"E",V164&lt;40,"F")</f>
        <v>C</v>
      </c>
      <c r="W165" s="50" t="str" cm="1">
        <f t="array" ref="W165">_xlfn.IFS(W164&gt;= 70,"A",W164&gt;=60,"B",W164&gt;=50,"C",W164&gt;=45,"D",W164&gt;=40,"E",W164&lt;40,"F")</f>
        <v>C</v>
      </c>
      <c r="X165" s="7"/>
      <c r="Y165" s="7"/>
      <c r="Z165" s="7"/>
      <c r="AA165" s="7"/>
      <c r="AB165" s="7"/>
      <c r="AC165" s="7"/>
      <c r="AD165" s="7"/>
      <c r="AE165" s="7"/>
      <c r="AF165" s="7"/>
      <c r="AM165" s="56">
        <f t="shared" ref="AM165" si="313">SUMIFS($I$4:$W$4,I164:W164,"&gt;0")</f>
        <v>23</v>
      </c>
      <c r="AN165" s="47">
        <f t="shared" ref="AN165" si="314">(SUMIFS($I$4:$W$4,I164:W164,"&gt;0")-SUMIFS($I$4:$W$4,I165:W165,"F"))</f>
        <v>23</v>
      </c>
      <c r="AO165" s="56">
        <f t="shared" ref="AO165" si="315">SUMIFS($I$4:$W$4,I165:W165,"F")</f>
        <v>0</v>
      </c>
      <c r="AP165" s="76"/>
      <c r="AQ165" s="74"/>
      <c r="AR165" s="71"/>
    </row>
    <row r="166" spans="1:44" ht="15" thickTop="1" x14ac:dyDescent="0.3">
      <c r="A166" s="68">
        <v>81</v>
      </c>
      <c r="B166" s="70"/>
      <c r="C166" s="75"/>
      <c r="D166" s="84"/>
      <c r="E166" s="84"/>
      <c r="F166" s="84"/>
      <c r="G166" s="84"/>
      <c r="H166" s="85"/>
      <c r="I166" s="49">
        <v>56</v>
      </c>
      <c r="J166" s="49">
        <v>46</v>
      </c>
      <c r="K166" s="49">
        <v>47</v>
      </c>
      <c r="L166" s="49">
        <v>48</v>
      </c>
      <c r="M166" s="49">
        <v>49</v>
      </c>
      <c r="N166" s="49">
        <v>50</v>
      </c>
      <c r="O166" s="49">
        <v>51</v>
      </c>
      <c r="P166" s="49">
        <v>52</v>
      </c>
      <c r="Q166" s="49">
        <v>53</v>
      </c>
      <c r="R166" s="49">
        <v>54</v>
      </c>
      <c r="S166" s="49">
        <v>55</v>
      </c>
      <c r="T166" s="49">
        <v>56</v>
      </c>
      <c r="U166" s="49">
        <v>57</v>
      </c>
      <c r="V166" s="49">
        <v>58</v>
      </c>
      <c r="W166" s="49">
        <v>59</v>
      </c>
      <c r="X166" s="7"/>
      <c r="Y166" s="7"/>
      <c r="Z166" s="7"/>
      <c r="AA166" s="7"/>
      <c r="AB166" s="7"/>
      <c r="AC166" s="7"/>
      <c r="AD166" s="7"/>
      <c r="AE166" s="7"/>
      <c r="AF166" s="7"/>
      <c r="AM166" s="59"/>
      <c r="AN166" s="46"/>
      <c r="AO166" s="59"/>
      <c r="AP166" s="75" cm="1">
        <f t="array" ref="AP166">SUM(VLOOKUP(I167:W167,GRADEPOINT!$A$2:$B$7,2,0)*$I$4:$W$4)</f>
        <v>63</v>
      </c>
      <c r="AQ166" s="73">
        <f t="shared" ref="AQ166" si="316">ROUND(AP166/AM167,2)</f>
        <v>2.74</v>
      </c>
      <c r="AR166" s="72"/>
    </row>
    <row r="167" spans="1:44" ht="15" thickBot="1" x14ac:dyDescent="0.35">
      <c r="A167" s="69"/>
      <c r="B167" s="71"/>
      <c r="C167" s="86"/>
      <c r="D167" s="87"/>
      <c r="E167" s="87"/>
      <c r="F167" s="87"/>
      <c r="G167" s="87"/>
      <c r="H167" s="88"/>
      <c r="I167" s="51" t="str" cm="1">
        <f t="array" ref="I167">_xlfn.IFS(I166&gt;= 70,"A",I166&gt;=60,"B",I166&gt;=50,"C",I166&gt;=45,"D",I166&gt;=40,"E",I166&lt;40,"F")</f>
        <v>C</v>
      </c>
      <c r="J167" s="51" t="str" cm="1">
        <f t="array" ref="J167">_xlfn.IFS(J166&gt;= 70,"A",J166&gt;=60,"B",J166&gt;=50,"C",J166&gt;=45,"D",J166&gt;=40,"E",J166&lt;40,"F")</f>
        <v>D</v>
      </c>
      <c r="K167" s="51" t="str" cm="1">
        <f t="array" ref="K167">_xlfn.IFS(K166&gt;= 70,"A",K166&gt;=60,"B",K166&gt;=50,"C",K166&gt;=45,"D",K166&gt;=40,"E",K166&lt;40,"F")</f>
        <v>D</v>
      </c>
      <c r="L167" s="50" t="str" cm="1">
        <f t="array" ref="L167">_xlfn.IFS(L166&gt;= 70,"A",L166&gt;=60,"B",L166&gt;=50,"C",L166&gt;=45,"D",L166&gt;=40,"E",L166&lt;40,"F")</f>
        <v>D</v>
      </c>
      <c r="M167" s="51" t="str" cm="1">
        <f t="array" ref="M167">_xlfn.IFS(M166&gt;= 70,"A",M166&gt;=60,"B",M166&gt;=50,"C",M166&gt;=45,"D",M166&gt;=40,"E",M166&lt;40,"F")</f>
        <v>D</v>
      </c>
      <c r="N167" s="51" t="str" cm="1">
        <f t="array" ref="N167">_xlfn.IFS(N166&gt;= 70,"A",N166&gt;=60,"B",N166&gt;=50,"C",N166&gt;=45,"D",N166&gt;=40,"E",N166&lt;40,"F")</f>
        <v>C</v>
      </c>
      <c r="O167" s="51" t="str" cm="1">
        <f t="array" ref="O167">_xlfn.IFS(O166&gt;= 70,"A",O166&gt;=60,"B",O166&gt;=50,"C",O166&gt;=45,"D",O166&gt;=40,"E",O166&lt;40,"F")</f>
        <v>C</v>
      </c>
      <c r="P167" s="51" t="str" cm="1">
        <f t="array" ref="P167">_xlfn.IFS(P166&gt;= 70,"A",P166&gt;=60,"B",P166&gt;=50,"C",P166&gt;=45,"D",P166&gt;=40,"E",P166&lt;40,"F")</f>
        <v>C</v>
      </c>
      <c r="Q167" s="51" t="str" cm="1">
        <f t="array" ref="Q167">_xlfn.IFS(Q166&gt;= 70,"A",Q166&gt;=60,"B",Q166&gt;=50,"C",Q166&gt;=45,"D",Q166&gt;=40,"E",Q166&lt;40,"F")</f>
        <v>C</v>
      </c>
      <c r="R167" s="51" t="str" cm="1">
        <f t="array" ref="R167">_xlfn.IFS(R166&gt;= 70,"A",R166&gt;=60,"B",R166&gt;=50,"C",R166&gt;=45,"D",R166&gt;=40,"E",R166&lt;40,"F")</f>
        <v>C</v>
      </c>
      <c r="S167" s="51" t="str" cm="1">
        <f t="array" ref="S167">_xlfn.IFS(S166&gt;= 70,"A",S166&gt;=60,"B",S166&gt;=50,"C",S166&gt;=45,"D",S166&gt;=40,"E",S166&lt;40,"F")</f>
        <v>C</v>
      </c>
      <c r="T167" s="51" t="str" cm="1">
        <f t="array" ref="T167">_xlfn.IFS(T166&gt;= 70,"A",T166&gt;=60,"B",T166&gt;=50,"C",T166&gt;=45,"D",T166&gt;=40,"E",T166&lt;40,"F")</f>
        <v>C</v>
      </c>
      <c r="U167" s="51" t="str" cm="1">
        <f t="array" ref="U167">_xlfn.IFS(U166&gt;= 70,"A",U166&gt;=60,"B",U166&gt;=50,"C",U166&gt;=45,"D",U166&gt;=40,"E",U166&lt;40,"F")</f>
        <v>C</v>
      </c>
      <c r="V167" s="51" t="str" cm="1">
        <f t="array" ref="V167">_xlfn.IFS(V166&gt;= 70,"A",V166&gt;=60,"B",V166&gt;=50,"C",V166&gt;=45,"D",V166&gt;=40,"E",V166&lt;40,"F")</f>
        <v>C</v>
      </c>
      <c r="W167" s="50" t="str" cm="1">
        <f t="array" ref="W167">_xlfn.IFS(W166&gt;= 70,"A",W166&gt;=60,"B",W166&gt;=50,"C",W166&gt;=45,"D",W166&gt;=40,"E",W166&lt;40,"F")</f>
        <v>C</v>
      </c>
      <c r="X167" s="7"/>
      <c r="Y167" s="7"/>
      <c r="Z167" s="7"/>
      <c r="AA167" s="7"/>
      <c r="AB167" s="7"/>
      <c r="AC167" s="7"/>
      <c r="AD167" s="7"/>
      <c r="AE167" s="7"/>
      <c r="AF167" s="7"/>
      <c r="AM167" s="56">
        <f t="shared" ref="AM167" si="317">SUMIFS($I$4:$W$4,I166:W166,"&gt;0")</f>
        <v>23</v>
      </c>
      <c r="AN167" s="47">
        <f t="shared" ref="AN167" si="318">(SUMIFS($I$4:$W$4,I166:W166,"&gt;0")-SUMIFS($I$4:$W$4,I167:W167,"F"))</f>
        <v>23</v>
      </c>
      <c r="AO167" s="56">
        <f t="shared" ref="AO167" si="319">SUMIFS($I$4:$W$4,I167:W167,"F")</f>
        <v>0</v>
      </c>
      <c r="AP167" s="76"/>
      <c r="AQ167" s="74"/>
      <c r="AR167" s="71"/>
    </row>
    <row r="168" spans="1:44" ht="15" thickTop="1" x14ac:dyDescent="0.3">
      <c r="A168" s="68">
        <v>82</v>
      </c>
      <c r="B168" s="70"/>
      <c r="C168" s="75"/>
      <c r="D168" s="84"/>
      <c r="E168" s="84"/>
      <c r="F168" s="84"/>
      <c r="G168" s="84"/>
      <c r="H168" s="85"/>
      <c r="I168" s="49">
        <v>56</v>
      </c>
      <c r="J168" s="49">
        <v>46</v>
      </c>
      <c r="K168" s="49">
        <v>47</v>
      </c>
      <c r="L168" s="49">
        <v>48</v>
      </c>
      <c r="M168" s="49">
        <v>49</v>
      </c>
      <c r="N168" s="49">
        <v>50</v>
      </c>
      <c r="O168" s="49">
        <v>51</v>
      </c>
      <c r="P168" s="49">
        <v>52</v>
      </c>
      <c r="Q168" s="49">
        <v>53</v>
      </c>
      <c r="R168" s="49">
        <v>54</v>
      </c>
      <c r="S168" s="49">
        <v>55</v>
      </c>
      <c r="T168" s="49">
        <v>56</v>
      </c>
      <c r="U168" s="49">
        <v>57</v>
      </c>
      <c r="V168" s="49">
        <v>58</v>
      </c>
      <c r="W168" s="49">
        <v>59</v>
      </c>
      <c r="X168" s="7"/>
      <c r="Y168" s="7"/>
      <c r="Z168" s="7"/>
      <c r="AA168" s="7"/>
      <c r="AB168" s="7"/>
      <c r="AC168" s="7"/>
      <c r="AD168" s="7"/>
      <c r="AE168" s="7"/>
      <c r="AF168" s="7"/>
      <c r="AM168" s="59"/>
      <c r="AN168" s="46"/>
      <c r="AO168" s="59"/>
      <c r="AP168" s="75" cm="1">
        <f t="array" ref="AP168">SUM(VLOOKUP(I169:W169,GRADEPOINT!$A$2:$B$7,2,0)*$I$4:$W$4)</f>
        <v>63</v>
      </c>
      <c r="AQ168" s="73">
        <f t="shared" ref="AQ168" si="320">ROUND(AP168/AM169,2)</f>
        <v>2.74</v>
      </c>
      <c r="AR168" s="72"/>
    </row>
    <row r="169" spans="1:44" ht="15" thickBot="1" x14ac:dyDescent="0.35">
      <c r="A169" s="69"/>
      <c r="B169" s="71"/>
      <c r="C169" s="86"/>
      <c r="D169" s="87"/>
      <c r="E169" s="87"/>
      <c r="F169" s="87"/>
      <c r="G169" s="87"/>
      <c r="H169" s="88"/>
      <c r="I169" s="51" t="str" cm="1">
        <f t="array" ref="I169">_xlfn.IFS(I168&gt;= 70,"A",I168&gt;=60,"B",I168&gt;=50,"C",I168&gt;=45,"D",I168&gt;=40,"E",I168&lt;40,"F")</f>
        <v>C</v>
      </c>
      <c r="J169" s="51" t="str" cm="1">
        <f t="array" ref="J169">_xlfn.IFS(J168&gt;= 70,"A",J168&gt;=60,"B",J168&gt;=50,"C",J168&gt;=45,"D",J168&gt;=40,"E",J168&lt;40,"F")</f>
        <v>D</v>
      </c>
      <c r="K169" s="51" t="str" cm="1">
        <f t="array" ref="K169">_xlfn.IFS(K168&gt;= 70,"A",K168&gt;=60,"B",K168&gt;=50,"C",K168&gt;=45,"D",K168&gt;=40,"E",K168&lt;40,"F")</f>
        <v>D</v>
      </c>
      <c r="L169" s="50" t="str" cm="1">
        <f t="array" ref="L169">_xlfn.IFS(L168&gt;= 70,"A",L168&gt;=60,"B",L168&gt;=50,"C",L168&gt;=45,"D",L168&gt;=40,"E",L168&lt;40,"F")</f>
        <v>D</v>
      </c>
      <c r="M169" s="51" t="str" cm="1">
        <f t="array" ref="M169">_xlfn.IFS(M168&gt;= 70,"A",M168&gt;=60,"B",M168&gt;=50,"C",M168&gt;=45,"D",M168&gt;=40,"E",M168&lt;40,"F")</f>
        <v>D</v>
      </c>
      <c r="N169" s="51" t="str" cm="1">
        <f t="array" ref="N169">_xlfn.IFS(N168&gt;= 70,"A",N168&gt;=60,"B",N168&gt;=50,"C",N168&gt;=45,"D",N168&gt;=40,"E",N168&lt;40,"F")</f>
        <v>C</v>
      </c>
      <c r="O169" s="51" t="str" cm="1">
        <f t="array" ref="O169">_xlfn.IFS(O168&gt;= 70,"A",O168&gt;=60,"B",O168&gt;=50,"C",O168&gt;=45,"D",O168&gt;=40,"E",O168&lt;40,"F")</f>
        <v>C</v>
      </c>
      <c r="P169" s="51" t="str" cm="1">
        <f t="array" ref="P169">_xlfn.IFS(P168&gt;= 70,"A",P168&gt;=60,"B",P168&gt;=50,"C",P168&gt;=45,"D",P168&gt;=40,"E",P168&lt;40,"F")</f>
        <v>C</v>
      </c>
      <c r="Q169" s="51" t="str" cm="1">
        <f t="array" ref="Q169">_xlfn.IFS(Q168&gt;= 70,"A",Q168&gt;=60,"B",Q168&gt;=50,"C",Q168&gt;=45,"D",Q168&gt;=40,"E",Q168&lt;40,"F")</f>
        <v>C</v>
      </c>
      <c r="R169" s="51" t="str" cm="1">
        <f t="array" ref="R169">_xlfn.IFS(R168&gt;= 70,"A",R168&gt;=60,"B",R168&gt;=50,"C",R168&gt;=45,"D",R168&gt;=40,"E",R168&lt;40,"F")</f>
        <v>C</v>
      </c>
      <c r="S169" s="51" t="str" cm="1">
        <f t="array" ref="S169">_xlfn.IFS(S168&gt;= 70,"A",S168&gt;=60,"B",S168&gt;=50,"C",S168&gt;=45,"D",S168&gt;=40,"E",S168&lt;40,"F")</f>
        <v>C</v>
      </c>
      <c r="T169" s="51" t="str" cm="1">
        <f t="array" ref="T169">_xlfn.IFS(T168&gt;= 70,"A",T168&gt;=60,"B",T168&gt;=50,"C",T168&gt;=45,"D",T168&gt;=40,"E",T168&lt;40,"F")</f>
        <v>C</v>
      </c>
      <c r="U169" s="51" t="str" cm="1">
        <f t="array" ref="U169">_xlfn.IFS(U168&gt;= 70,"A",U168&gt;=60,"B",U168&gt;=50,"C",U168&gt;=45,"D",U168&gt;=40,"E",U168&lt;40,"F")</f>
        <v>C</v>
      </c>
      <c r="V169" s="51" t="str" cm="1">
        <f t="array" ref="V169">_xlfn.IFS(V168&gt;= 70,"A",V168&gt;=60,"B",V168&gt;=50,"C",V168&gt;=45,"D",V168&gt;=40,"E",V168&lt;40,"F")</f>
        <v>C</v>
      </c>
      <c r="W169" s="50" t="str" cm="1">
        <f t="array" ref="W169">_xlfn.IFS(W168&gt;= 70,"A",W168&gt;=60,"B",W168&gt;=50,"C",W168&gt;=45,"D",W168&gt;=40,"E",W168&lt;40,"F")</f>
        <v>C</v>
      </c>
      <c r="X169" s="7"/>
      <c r="Y169" s="7"/>
      <c r="Z169" s="7"/>
      <c r="AA169" s="7"/>
      <c r="AB169" s="7"/>
      <c r="AC169" s="7"/>
      <c r="AD169" s="7"/>
      <c r="AE169" s="7"/>
      <c r="AF169" s="7"/>
      <c r="AM169" s="56">
        <f t="shared" ref="AM169" si="321">SUMIFS($I$4:$W$4,I168:W168,"&gt;0")</f>
        <v>23</v>
      </c>
      <c r="AN169" s="47">
        <f t="shared" ref="AN169" si="322">(SUMIFS($I$4:$W$4,I168:W168,"&gt;0")-SUMIFS($I$4:$W$4,I169:W169,"F"))</f>
        <v>23</v>
      </c>
      <c r="AO169" s="56">
        <f t="shared" ref="AO169" si="323">SUMIFS($I$4:$W$4,I169:W169,"F")</f>
        <v>0</v>
      </c>
      <c r="AP169" s="76"/>
      <c r="AQ169" s="74"/>
      <c r="AR169" s="71"/>
    </row>
    <row r="170" spans="1:44" ht="15" thickTop="1" x14ac:dyDescent="0.3">
      <c r="A170" s="97">
        <v>83</v>
      </c>
      <c r="B170" s="70"/>
      <c r="C170" s="75"/>
      <c r="D170" s="84"/>
      <c r="E170" s="84"/>
      <c r="F170" s="84"/>
      <c r="G170" s="84"/>
      <c r="H170" s="85"/>
      <c r="I170" s="49">
        <v>56</v>
      </c>
      <c r="J170" s="49">
        <v>46</v>
      </c>
      <c r="K170" s="49">
        <v>47</v>
      </c>
      <c r="L170" s="49">
        <v>48</v>
      </c>
      <c r="M170" s="49">
        <v>49</v>
      </c>
      <c r="N170" s="49">
        <v>50</v>
      </c>
      <c r="O170" s="49">
        <v>51</v>
      </c>
      <c r="P170" s="49">
        <v>52</v>
      </c>
      <c r="Q170" s="49">
        <v>53</v>
      </c>
      <c r="R170" s="49">
        <v>54</v>
      </c>
      <c r="S170" s="49">
        <v>55</v>
      </c>
      <c r="T170" s="49">
        <v>56</v>
      </c>
      <c r="U170" s="49">
        <v>57</v>
      </c>
      <c r="V170" s="49">
        <v>58</v>
      </c>
      <c r="W170" s="49">
        <v>59</v>
      </c>
      <c r="X170" s="7"/>
      <c r="Y170" s="7"/>
      <c r="Z170" s="7"/>
      <c r="AA170" s="7"/>
      <c r="AB170" s="7"/>
      <c r="AC170" s="7"/>
      <c r="AD170" s="7"/>
      <c r="AE170" s="7"/>
      <c r="AF170" s="7"/>
      <c r="AM170" s="59"/>
      <c r="AN170" s="46"/>
      <c r="AO170" s="59"/>
      <c r="AP170" s="75" cm="1">
        <f t="array" ref="AP170">SUM(VLOOKUP(I171:W171,GRADEPOINT!$A$2:$B$7,2,0)*$I$4:$W$4)</f>
        <v>63</v>
      </c>
      <c r="AQ170" s="73">
        <f t="shared" ref="AQ170" si="324">ROUND(AP170/AM171,2)</f>
        <v>2.74</v>
      </c>
      <c r="AR170" s="72"/>
    </row>
    <row r="171" spans="1:44" ht="15" thickBot="1" x14ac:dyDescent="0.35">
      <c r="A171" s="69"/>
      <c r="B171" s="71"/>
      <c r="C171" s="86"/>
      <c r="D171" s="87"/>
      <c r="E171" s="87"/>
      <c r="F171" s="87"/>
      <c r="G171" s="87"/>
      <c r="H171" s="88"/>
      <c r="I171" s="51" t="str" cm="1">
        <f t="array" ref="I171">_xlfn.IFS(I170&gt;= 70,"A",I170&gt;=60,"B",I170&gt;=50,"C",I170&gt;=45,"D",I170&gt;=40,"E",I170&lt;40,"F")</f>
        <v>C</v>
      </c>
      <c r="J171" s="51" t="str" cm="1">
        <f t="array" ref="J171">_xlfn.IFS(J170&gt;= 70,"A",J170&gt;=60,"B",J170&gt;=50,"C",J170&gt;=45,"D",J170&gt;=40,"E",J170&lt;40,"F")</f>
        <v>D</v>
      </c>
      <c r="K171" s="51" t="str" cm="1">
        <f t="array" ref="K171">_xlfn.IFS(K170&gt;= 70,"A",K170&gt;=60,"B",K170&gt;=50,"C",K170&gt;=45,"D",K170&gt;=40,"E",K170&lt;40,"F")</f>
        <v>D</v>
      </c>
      <c r="L171" s="50" t="str" cm="1">
        <f t="array" ref="L171">_xlfn.IFS(L170&gt;= 70,"A",L170&gt;=60,"B",L170&gt;=50,"C",L170&gt;=45,"D",L170&gt;=40,"E",L170&lt;40,"F")</f>
        <v>D</v>
      </c>
      <c r="M171" s="51" t="str" cm="1">
        <f t="array" ref="M171">_xlfn.IFS(M170&gt;= 70,"A",M170&gt;=60,"B",M170&gt;=50,"C",M170&gt;=45,"D",M170&gt;=40,"E",M170&lt;40,"F")</f>
        <v>D</v>
      </c>
      <c r="N171" s="51" t="str" cm="1">
        <f t="array" ref="N171">_xlfn.IFS(N170&gt;= 70,"A",N170&gt;=60,"B",N170&gt;=50,"C",N170&gt;=45,"D",N170&gt;=40,"E",N170&lt;40,"F")</f>
        <v>C</v>
      </c>
      <c r="O171" s="51" t="str" cm="1">
        <f t="array" ref="O171">_xlfn.IFS(O170&gt;= 70,"A",O170&gt;=60,"B",O170&gt;=50,"C",O170&gt;=45,"D",O170&gt;=40,"E",O170&lt;40,"F")</f>
        <v>C</v>
      </c>
      <c r="P171" s="51" t="str" cm="1">
        <f t="array" ref="P171">_xlfn.IFS(P170&gt;= 70,"A",P170&gt;=60,"B",P170&gt;=50,"C",P170&gt;=45,"D",P170&gt;=40,"E",P170&lt;40,"F")</f>
        <v>C</v>
      </c>
      <c r="Q171" s="51" t="str" cm="1">
        <f t="array" ref="Q171">_xlfn.IFS(Q170&gt;= 70,"A",Q170&gt;=60,"B",Q170&gt;=50,"C",Q170&gt;=45,"D",Q170&gt;=40,"E",Q170&lt;40,"F")</f>
        <v>C</v>
      </c>
      <c r="R171" s="51" t="str" cm="1">
        <f t="array" ref="R171">_xlfn.IFS(R170&gt;= 70,"A",R170&gt;=60,"B",R170&gt;=50,"C",R170&gt;=45,"D",R170&gt;=40,"E",R170&lt;40,"F")</f>
        <v>C</v>
      </c>
      <c r="S171" s="51" t="str" cm="1">
        <f t="array" ref="S171">_xlfn.IFS(S170&gt;= 70,"A",S170&gt;=60,"B",S170&gt;=50,"C",S170&gt;=45,"D",S170&gt;=40,"E",S170&lt;40,"F")</f>
        <v>C</v>
      </c>
      <c r="T171" s="51" t="str" cm="1">
        <f t="array" ref="T171">_xlfn.IFS(T170&gt;= 70,"A",T170&gt;=60,"B",T170&gt;=50,"C",T170&gt;=45,"D",T170&gt;=40,"E",T170&lt;40,"F")</f>
        <v>C</v>
      </c>
      <c r="U171" s="51" t="str" cm="1">
        <f t="array" ref="U171">_xlfn.IFS(U170&gt;= 70,"A",U170&gt;=60,"B",U170&gt;=50,"C",U170&gt;=45,"D",U170&gt;=40,"E",U170&lt;40,"F")</f>
        <v>C</v>
      </c>
      <c r="V171" s="51" t="str" cm="1">
        <f t="array" ref="V171">_xlfn.IFS(V170&gt;= 70,"A",V170&gt;=60,"B",V170&gt;=50,"C",V170&gt;=45,"D",V170&gt;=40,"E",V170&lt;40,"F")</f>
        <v>C</v>
      </c>
      <c r="W171" s="50" t="str" cm="1">
        <f t="array" ref="W171">_xlfn.IFS(W170&gt;= 70,"A",W170&gt;=60,"B",W170&gt;=50,"C",W170&gt;=45,"D",W170&gt;=40,"E",W170&lt;40,"F")</f>
        <v>C</v>
      </c>
      <c r="X171" s="7"/>
      <c r="Y171" s="7"/>
      <c r="Z171" s="7"/>
      <c r="AA171" s="7"/>
      <c r="AB171" s="7"/>
      <c r="AC171" s="7"/>
      <c r="AD171" s="7"/>
      <c r="AE171" s="7"/>
      <c r="AF171" s="7"/>
      <c r="AM171" s="56">
        <f t="shared" ref="AM171" si="325">SUMIFS($I$4:$W$4,I170:W170,"&gt;0")</f>
        <v>23</v>
      </c>
      <c r="AN171" s="47">
        <f t="shared" ref="AN171" si="326">(SUMIFS($I$4:$W$4,I170:W170,"&gt;0")-SUMIFS($I$4:$W$4,I171:W171,"F"))</f>
        <v>23</v>
      </c>
      <c r="AO171" s="56">
        <f t="shared" ref="AO171" si="327">SUMIFS($I$4:$W$4,I171:W171,"F")</f>
        <v>0</v>
      </c>
      <c r="AP171" s="76"/>
      <c r="AQ171" s="74"/>
      <c r="AR171" s="71"/>
    </row>
    <row r="172" spans="1:44" ht="15" thickTop="1" x14ac:dyDescent="0.3">
      <c r="A172" s="68">
        <v>84</v>
      </c>
      <c r="B172" s="70"/>
      <c r="C172" s="75"/>
      <c r="D172" s="84"/>
      <c r="E172" s="84"/>
      <c r="F172" s="84"/>
      <c r="G172" s="84"/>
      <c r="H172" s="85"/>
      <c r="I172" s="49">
        <v>56</v>
      </c>
      <c r="J172" s="49">
        <v>46</v>
      </c>
      <c r="K172" s="49">
        <v>47</v>
      </c>
      <c r="L172" s="49">
        <v>48</v>
      </c>
      <c r="M172" s="49">
        <v>49</v>
      </c>
      <c r="N172" s="49">
        <v>50</v>
      </c>
      <c r="O172" s="49">
        <v>51</v>
      </c>
      <c r="P172" s="49">
        <v>52</v>
      </c>
      <c r="Q172" s="49">
        <v>53</v>
      </c>
      <c r="R172" s="49">
        <v>54</v>
      </c>
      <c r="S172" s="49">
        <v>55</v>
      </c>
      <c r="T172" s="49">
        <v>56</v>
      </c>
      <c r="U172" s="49">
        <v>57</v>
      </c>
      <c r="V172" s="49">
        <v>58</v>
      </c>
      <c r="W172" s="49">
        <v>59</v>
      </c>
      <c r="X172" s="7"/>
      <c r="Y172" s="7"/>
      <c r="Z172" s="7"/>
      <c r="AA172" s="7"/>
      <c r="AB172" s="7"/>
      <c r="AC172" s="7"/>
      <c r="AD172" s="7"/>
      <c r="AE172" s="7"/>
      <c r="AF172" s="7"/>
      <c r="AM172" s="59"/>
      <c r="AN172" s="46"/>
      <c r="AO172" s="59"/>
      <c r="AP172" s="75" cm="1">
        <f t="array" ref="AP172">SUM(VLOOKUP(I173:W173,GRADEPOINT!$A$2:$B$7,2,0)*$I$4:$W$4)</f>
        <v>63</v>
      </c>
      <c r="AQ172" s="73">
        <f t="shared" ref="AQ172" si="328">ROUND(AP172/AM173,2)</f>
        <v>2.74</v>
      </c>
      <c r="AR172" s="72"/>
    </row>
    <row r="173" spans="1:44" ht="15" thickBot="1" x14ac:dyDescent="0.35">
      <c r="A173" s="69"/>
      <c r="B173" s="71"/>
      <c r="C173" s="86"/>
      <c r="D173" s="87"/>
      <c r="E173" s="87"/>
      <c r="F173" s="87"/>
      <c r="G173" s="87"/>
      <c r="H173" s="88"/>
      <c r="I173" s="51" t="str" cm="1">
        <f t="array" ref="I173">_xlfn.IFS(I172&gt;= 70,"A",I172&gt;=60,"B",I172&gt;=50,"C",I172&gt;=45,"D",I172&gt;=40,"E",I172&lt;40,"F")</f>
        <v>C</v>
      </c>
      <c r="J173" s="51" t="str" cm="1">
        <f t="array" ref="J173">_xlfn.IFS(J172&gt;= 70,"A",J172&gt;=60,"B",J172&gt;=50,"C",J172&gt;=45,"D",J172&gt;=40,"E",J172&lt;40,"F")</f>
        <v>D</v>
      </c>
      <c r="K173" s="51" t="str" cm="1">
        <f t="array" ref="K173">_xlfn.IFS(K172&gt;= 70,"A",K172&gt;=60,"B",K172&gt;=50,"C",K172&gt;=45,"D",K172&gt;=40,"E",K172&lt;40,"F")</f>
        <v>D</v>
      </c>
      <c r="L173" s="50" t="str" cm="1">
        <f t="array" ref="L173">_xlfn.IFS(L172&gt;= 70,"A",L172&gt;=60,"B",L172&gt;=50,"C",L172&gt;=45,"D",L172&gt;=40,"E",L172&lt;40,"F")</f>
        <v>D</v>
      </c>
      <c r="M173" s="51" t="str" cm="1">
        <f t="array" ref="M173">_xlfn.IFS(M172&gt;= 70,"A",M172&gt;=60,"B",M172&gt;=50,"C",M172&gt;=45,"D",M172&gt;=40,"E",M172&lt;40,"F")</f>
        <v>D</v>
      </c>
      <c r="N173" s="51" t="str" cm="1">
        <f t="array" ref="N173">_xlfn.IFS(N172&gt;= 70,"A",N172&gt;=60,"B",N172&gt;=50,"C",N172&gt;=45,"D",N172&gt;=40,"E",N172&lt;40,"F")</f>
        <v>C</v>
      </c>
      <c r="O173" s="51" t="str" cm="1">
        <f t="array" ref="O173">_xlfn.IFS(O172&gt;= 70,"A",O172&gt;=60,"B",O172&gt;=50,"C",O172&gt;=45,"D",O172&gt;=40,"E",O172&lt;40,"F")</f>
        <v>C</v>
      </c>
      <c r="P173" s="51" t="str" cm="1">
        <f t="array" ref="P173">_xlfn.IFS(P172&gt;= 70,"A",P172&gt;=60,"B",P172&gt;=50,"C",P172&gt;=45,"D",P172&gt;=40,"E",P172&lt;40,"F")</f>
        <v>C</v>
      </c>
      <c r="Q173" s="51" t="str" cm="1">
        <f t="array" ref="Q173">_xlfn.IFS(Q172&gt;= 70,"A",Q172&gt;=60,"B",Q172&gt;=50,"C",Q172&gt;=45,"D",Q172&gt;=40,"E",Q172&lt;40,"F")</f>
        <v>C</v>
      </c>
      <c r="R173" s="51" t="str" cm="1">
        <f t="array" ref="R173">_xlfn.IFS(R172&gt;= 70,"A",R172&gt;=60,"B",R172&gt;=50,"C",R172&gt;=45,"D",R172&gt;=40,"E",R172&lt;40,"F")</f>
        <v>C</v>
      </c>
      <c r="S173" s="51" t="str" cm="1">
        <f t="array" ref="S173">_xlfn.IFS(S172&gt;= 70,"A",S172&gt;=60,"B",S172&gt;=50,"C",S172&gt;=45,"D",S172&gt;=40,"E",S172&lt;40,"F")</f>
        <v>C</v>
      </c>
      <c r="T173" s="51" t="str" cm="1">
        <f t="array" ref="T173">_xlfn.IFS(T172&gt;= 70,"A",T172&gt;=60,"B",T172&gt;=50,"C",T172&gt;=45,"D",T172&gt;=40,"E",T172&lt;40,"F")</f>
        <v>C</v>
      </c>
      <c r="U173" s="51" t="str" cm="1">
        <f t="array" ref="U173">_xlfn.IFS(U172&gt;= 70,"A",U172&gt;=60,"B",U172&gt;=50,"C",U172&gt;=45,"D",U172&gt;=40,"E",U172&lt;40,"F")</f>
        <v>C</v>
      </c>
      <c r="V173" s="51" t="str" cm="1">
        <f t="array" ref="V173">_xlfn.IFS(V172&gt;= 70,"A",V172&gt;=60,"B",V172&gt;=50,"C",V172&gt;=45,"D",V172&gt;=40,"E",V172&lt;40,"F")</f>
        <v>C</v>
      </c>
      <c r="W173" s="50" t="str" cm="1">
        <f t="array" ref="W173">_xlfn.IFS(W172&gt;= 70,"A",W172&gt;=60,"B",W172&gt;=50,"C",W172&gt;=45,"D",W172&gt;=40,"E",W172&lt;40,"F")</f>
        <v>C</v>
      </c>
      <c r="X173" s="7"/>
      <c r="Y173" s="7"/>
      <c r="Z173" s="7"/>
      <c r="AA173" s="7"/>
      <c r="AB173" s="7"/>
      <c r="AC173" s="7"/>
      <c r="AD173" s="7"/>
      <c r="AE173" s="7"/>
      <c r="AF173" s="7"/>
      <c r="AM173" s="56">
        <f t="shared" ref="AM173" si="329">SUMIFS($I$4:$W$4,I172:W172,"&gt;0")</f>
        <v>23</v>
      </c>
      <c r="AN173" s="47">
        <f t="shared" ref="AN173" si="330">(SUMIFS($I$4:$W$4,I172:W172,"&gt;0")-SUMIFS($I$4:$W$4,I173:W173,"F"))</f>
        <v>23</v>
      </c>
      <c r="AO173" s="56">
        <f t="shared" ref="AO173" si="331">SUMIFS($I$4:$W$4,I173:W173,"F")</f>
        <v>0</v>
      </c>
      <c r="AP173" s="76"/>
      <c r="AQ173" s="74"/>
      <c r="AR173" s="71"/>
    </row>
    <row r="174" spans="1:44" ht="15" thickTop="1" x14ac:dyDescent="0.3">
      <c r="A174" s="68">
        <v>85</v>
      </c>
      <c r="B174" s="70"/>
      <c r="C174" s="75"/>
      <c r="D174" s="84"/>
      <c r="E174" s="84"/>
      <c r="F174" s="84"/>
      <c r="G174" s="84"/>
      <c r="H174" s="85"/>
      <c r="I174" s="49">
        <v>56</v>
      </c>
      <c r="J174" s="49">
        <v>46</v>
      </c>
      <c r="K174" s="49">
        <v>47</v>
      </c>
      <c r="L174" s="49">
        <v>48</v>
      </c>
      <c r="M174" s="49">
        <v>49</v>
      </c>
      <c r="N174" s="49">
        <v>50</v>
      </c>
      <c r="O174" s="49">
        <v>51</v>
      </c>
      <c r="P174" s="49">
        <v>52</v>
      </c>
      <c r="Q174" s="49">
        <v>53</v>
      </c>
      <c r="R174" s="49">
        <v>54</v>
      </c>
      <c r="S174" s="49">
        <v>55</v>
      </c>
      <c r="T174" s="49">
        <v>56</v>
      </c>
      <c r="U174" s="49">
        <v>57</v>
      </c>
      <c r="V174" s="49">
        <v>58</v>
      </c>
      <c r="W174" s="49">
        <v>59</v>
      </c>
      <c r="X174" s="7"/>
      <c r="Y174" s="7"/>
      <c r="Z174" s="7"/>
      <c r="AA174" s="7"/>
      <c r="AB174" s="7"/>
      <c r="AC174" s="7"/>
      <c r="AD174" s="7"/>
      <c r="AE174" s="7"/>
      <c r="AF174" s="7"/>
      <c r="AM174" s="59"/>
      <c r="AN174" s="46"/>
      <c r="AO174" s="59"/>
      <c r="AP174" s="75" cm="1">
        <f t="array" ref="AP174">SUM(VLOOKUP(I175:W175,GRADEPOINT!$A$2:$B$7,2,0)*$I$4:$W$4)</f>
        <v>63</v>
      </c>
      <c r="AQ174" s="73">
        <f t="shared" ref="AQ174" si="332">ROUND(AP174/AM175,2)</f>
        <v>2.74</v>
      </c>
      <c r="AR174" s="72"/>
    </row>
    <row r="175" spans="1:44" ht="15" thickBot="1" x14ac:dyDescent="0.35">
      <c r="A175" s="69"/>
      <c r="B175" s="71"/>
      <c r="C175" s="86"/>
      <c r="D175" s="87"/>
      <c r="E175" s="87"/>
      <c r="F175" s="87"/>
      <c r="G175" s="87"/>
      <c r="H175" s="88"/>
      <c r="I175" s="51" t="str" cm="1">
        <f t="array" ref="I175">_xlfn.IFS(I174&gt;= 70,"A",I174&gt;=60,"B",I174&gt;=50,"C",I174&gt;=45,"D",I174&gt;=40,"E",I174&lt;40,"F")</f>
        <v>C</v>
      </c>
      <c r="J175" s="51" t="str" cm="1">
        <f t="array" ref="J175">_xlfn.IFS(J174&gt;= 70,"A",J174&gt;=60,"B",J174&gt;=50,"C",J174&gt;=45,"D",J174&gt;=40,"E",J174&lt;40,"F")</f>
        <v>D</v>
      </c>
      <c r="K175" s="51" t="str" cm="1">
        <f t="array" ref="K175">_xlfn.IFS(K174&gt;= 70,"A",K174&gt;=60,"B",K174&gt;=50,"C",K174&gt;=45,"D",K174&gt;=40,"E",K174&lt;40,"F")</f>
        <v>D</v>
      </c>
      <c r="L175" s="50" t="str" cm="1">
        <f t="array" ref="L175">_xlfn.IFS(L174&gt;= 70,"A",L174&gt;=60,"B",L174&gt;=50,"C",L174&gt;=45,"D",L174&gt;=40,"E",L174&lt;40,"F")</f>
        <v>D</v>
      </c>
      <c r="M175" s="51" t="str" cm="1">
        <f t="array" ref="M175">_xlfn.IFS(M174&gt;= 70,"A",M174&gt;=60,"B",M174&gt;=50,"C",M174&gt;=45,"D",M174&gt;=40,"E",M174&lt;40,"F")</f>
        <v>D</v>
      </c>
      <c r="N175" s="51" t="str" cm="1">
        <f t="array" ref="N175">_xlfn.IFS(N174&gt;= 70,"A",N174&gt;=60,"B",N174&gt;=50,"C",N174&gt;=45,"D",N174&gt;=40,"E",N174&lt;40,"F")</f>
        <v>C</v>
      </c>
      <c r="O175" s="51" t="str" cm="1">
        <f t="array" ref="O175">_xlfn.IFS(O174&gt;= 70,"A",O174&gt;=60,"B",O174&gt;=50,"C",O174&gt;=45,"D",O174&gt;=40,"E",O174&lt;40,"F")</f>
        <v>C</v>
      </c>
      <c r="P175" s="51" t="str" cm="1">
        <f t="array" ref="P175">_xlfn.IFS(P174&gt;= 70,"A",P174&gt;=60,"B",P174&gt;=50,"C",P174&gt;=45,"D",P174&gt;=40,"E",P174&lt;40,"F")</f>
        <v>C</v>
      </c>
      <c r="Q175" s="51" t="str" cm="1">
        <f t="array" ref="Q175">_xlfn.IFS(Q174&gt;= 70,"A",Q174&gt;=60,"B",Q174&gt;=50,"C",Q174&gt;=45,"D",Q174&gt;=40,"E",Q174&lt;40,"F")</f>
        <v>C</v>
      </c>
      <c r="R175" s="51" t="str" cm="1">
        <f t="array" ref="R175">_xlfn.IFS(R174&gt;= 70,"A",R174&gt;=60,"B",R174&gt;=50,"C",R174&gt;=45,"D",R174&gt;=40,"E",R174&lt;40,"F")</f>
        <v>C</v>
      </c>
      <c r="S175" s="51" t="str" cm="1">
        <f t="array" ref="S175">_xlfn.IFS(S174&gt;= 70,"A",S174&gt;=60,"B",S174&gt;=50,"C",S174&gt;=45,"D",S174&gt;=40,"E",S174&lt;40,"F")</f>
        <v>C</v>
      </c>
      <c r="T175" s="51" t="str" cm="1">
        <f t="array" ref="T175">_xlfn.IFS(T174&gt;= 70,"A",T174&gt;=60,"B",T174&gt;=50,"C",T174&gt;=45,"D",T174&gt;=40,"E",T174&lt;40,"F")</f>
        <v>C</v>
      </c>
      <c r="U175" s="51" t="str" cm="1">
        <f t="array" ref="U175">_xlfn.IFS(U174&gt;= 70,"A",U174&gt;=60,"B",U174&gt;=50,"C",U174&gt;=45,"D",U174&gt;=40,"E",U174&lt;40,"F")</f>
        <v>C</v>
      </c>
      <c r="V175" s="51" t="str" cm="1">
        <f t="array" ref="V175">_xlfn.IFS(V174&gt;= 70,"A",V174&gt;=60,"B",V174&gt;=50,"C",V174&gt;=45,"D",V174&gt;=40,"E",V174&lt;40,"F")</f>
        <v>C</v>
      </c>
      <c r="W175" s="50" t="str" cm="1">
        <f t="array" ref="W175">_xlfn.IFS(W174&gt;= 70,"A",W174&gt;=60,"B",W174&gt;=50,"C",W174&gt;=45,"D",W174&gt;=40,"E",W174&lt;40,"F")</f>
        <v>C</v>
      </c>
      <c r="X175" s="7"/>
      <c r="Y175" s="7"/>
      <c r="Z175" s="7"/>
      <c r="AA175" s="7"/>
      <c r="AB175" s="7"/>
      <c r="AC175" s="7"/>
      <c r="AD175" s="7"/>
      <c r="AE175" s="7"/>
      <c r="AF175" s="7"/>
      <c r="AM175" s="56">
        <f t="shared" ref="AM175" si="333">SUMIFS($I$4:$W$4,I174:W174,"&gt;0")</f>
        <v>23</v>
      </c>
      <c r="AN175" s="47">
        <f t="shared" ref="AN175" si="334">(SUMIFS($I$4:$W$4,I174:W174,"&gt;0")-SUMIFS($I$4:$W$4,I175:W175,"F"))</f>
        <v>23</v>
      </c>
      <c r="AO175" s="56">
        <f t="shared" ref="AO175" si="335">SUMIFS($I$4:$W$4,I175:W175,"F")</f>
        <v>0</v>
      </c>
      <c r="AP175" s="76"/>
      <c r="AQ175" s="74"/>
      <c r="AR175" s="71"/>
    </row>
    <row r="176" spans="1:44" ht="15" thickTop="1" x14ac:dyDescent="0.3">
      <c r="A176" s="68">
        <v>86</v>
      </c>
      <c r="B176" s="70"/>
      <c r="C176" s="75"/>
      <c r="D176" s="84"/>
      <c r="E176" s="84"/>
      <c r="F176" s="84"/>
      <c r="G176" s="84"/>
      <c r="H176" s="85"/>
      <c r="I176" s="49">
        <v>56</v>
      </c>
      <c r="J176" s="49">
        <v>46</v>
      </c>
      <c r="K176" s="49">
        <v>47</v>
      </c>
      <c r="L176" s="49">
        <v>48</v>
      </c>
      <c r="M176" s="49">
        <v>49</v>
      </c>
      <c r="N176" s="49">
        <v>50</v>
      </c>
      <c r="O176" s="49">
        <v>51</v>
      </c>
      <c r="P176" s="49">
        <v>52</v>
      </c>
      <c r="Q176" s="49">
        <v>53</v>
      </c>
      <c r="R176" s="49">
        <v>54</v>
      </c>
      <c r="S176" s="49">
        <v>55</v>
      </c>
      <c r="T176" s="49">
        <v>56</v>
      </c>
      <c r="U176" s="49">
        <v>57</v>
      </c>
      <c r="V176" s="49">
        <v>58</v>
      </c>
      <c r="W176" s="49">
        <v>59</v>
      </c>
      <c r="X176" s="7"/>
      <c r="Y176" s="7"/>
      <c r="Z176" s="7"/>
      <c r="AA176" s="7"/>
      <c r="AB176" s="7"/>
      <c r="AC176" s="7"/>
      <c r="AD176" s="7"/>
      <c r="AE176" s="7"/>
      <c r="AF176" s="7"/>
      <c r="AM176" s="59"/>
      <c r="AN176" s="46"/>
      <c r="AO176" s="59"/>
      <c r="AP176" s="75" cm="1">
        <f t="array" ref="AP176">SUM(VLOOKUP(I177:W177,GRADEPOINT!$A$2:$B$7,2,0)*$I$4:$W$4)</f>
        <v>63</v>
      </c>
      <c r="AQ176" s="73">
        <f t="shared" ref="AQ176" si="336">ROUND(AP176/AM177,2)</f>
        <v>2.74</v>
      </c>
      <c r="AR176" s="72"/>
    </row>
    <row r="177" spans="1:44" ht="15" thickBot="1" x14ac:dyDescent="0.35">
      <c r="A177" s="69"/>
      <c r="B177" s="71"/>
      <c r="C177" s="86"/>
      <c r="D177" s="87"/>
      <c r="E177" s="87"/>
      <c r="F177" s="87"/>
      <c r="G177" s="87"/>
      <c r="H177" s="88"/>
      <c r="I177" s="51" t="str" cm="1">
        <f t="array" ref="I177">_xlfn.IFS(I176&gt;= 70,"A",I176&gt;=60,"B",I176&gt;=50,"C",I176&gt;=45,"D",I176&gt;=40,"E",I176&lt;40,"F")</f>
        <v>C</v>
      </c>
      <c r="J177" s="51" t="str" cm="1">
        <f t="array" ref="J177">_xlfn.IFS(J176&gt;= 70,"A",J176&gt;=60,"B",J176&gt;=50,"C",J176&gt;=45,"D",J176&gt;=40,"E",J176&lt;40,"F")</f>
        <v>D</v>
      </c>
      <c r="K177" s="51" t="str" cm="1">
        <f t="array" ref="K177">_xlfn.IFS(K176&gt;= 70,"A",K176&gt;=60,"B",K176&gt;=50,"C",K176&gt;=45,"D",K176&gt;=40,"E",K176&lt;40,"F")</f>
        <v>D</v>
      </c>
      <c r="L177" s="50" t="str" cm="1">
        <f t="array" ref="L177">_xlfn.IFS(L176&gt;= 70,"A",L176&gt;=60,"B",L176&gt;=50,"C",L176&gt;=45,"D",L176&gt;=40,"E",L176&lt;40,"F")</f>
        <v>D</v>
      </c>
      <c r="M177" s="51" t="str" cm="1">
        <f t="array" ref="M177">_xlfn.IFS(M176&gt;= 70,"A",M176&gt;=60,"B",M176&gt;=50,"C",M176&gt;=45,"D",M176&gt;=40,"E",M176&lt;40,"F")</f>
        <v>D</v>
      </c>
      <c r="N177" s="51" t="str" cm="1">
        <f t="array" ref="N177">_xlfn.IFS(N176&gt;= 70,"A",N176&gt;=60,"B",N176&gt;=50,"C",N176&gt;=45,"D",N176&gt;=40,"E",N176&lt;40,"F")</f>
        <v>C</v>
      </c>
      <c r="O177" s="51" t="str" cm="1">
        <f t="array" ref="O177">_xlfn.IFS(O176&gt;= 70,"A",O176&gt;=60,"B",O176&gt;=50,"C",O176&gt;=45,"D",O176&gt;=40,"E",O176&lt;40,"F")</f>
        <v>C</v>
      </c>
      <c r="P177" s="51" t="str" cm="1">
        <f t="array" ref="P177">_xlfn.IFS(P176&gt;= 70,"A",P176&gt;=60,"B",P176&gt;=50,"C",P176&gt;=45,"D",P176&gt;=40,"E",P176&lt;40,"F")</f>
        <v>C</v>
      </c>
      <c r="Q177" s="51" t="str" cm="1">
        <f t="array" ref="Q177">_xlfn.IFS(Q176&gt;= 70,"A",Q176&gt;=60,"B",Q176&gt;=50,"C",Q176&gt;=45,"D",Q176&gt;=40,"E",Q176&lt;40,"F")</f>
        <v>C</v>
      </c>
      <c r="R177" s="51" t="str" cm="1">
        <f t="array" ref="R177">_xlfn.IFS(R176&gt;= 70,"A",R176&gt;=60,"B",R176&gt;=50,"C",R176&gt;=45,"D",R176&gt;=40,"E",R176&lt;40,"F")</f>
        <v>C</v>
      </c>
      <c r="S177" s="51" t="str" cm="1">
        <f t="array" ref="S177">_xlfn.IFS(S176&gt;= 70,"A",S176&gt;=60,"B",S176&gt;=50,"C",S176&gt;=45,"D",S176&gt;=40,"E",S176&lt;40,"F")</f>
        <v>C</v>
      </c>
      <c r="T177" s="51" t="str" cm="1">
        <f t="array" ref="T177">_xlfn.IFS(T176&gt;= 70,"A",T176&gt;=60,"B",T176&gt;=50,"C",T176&gt;=45,"D",T176&gt;=40,"E",T176&lt;40,"F")</f>
        <v>C</v>
      </c>
      <c r="U177" s="51" t="str" cm="1">
        <f t="array" ref="U177">_xlfn.IFS(U176&gt;= 70,"A",U176&gt;=60,"B",U176&gt;=50,"C",U176&gt;=45,"D",U176&gt;=40,"E",U176&lt;40,"F")</f>
        <v>C</v>
      </c>
      <c r="V177" s="51" t="str" cm="1">
        <f t="array" ref="V177">_xlfn.IFS(V176&gt;= 70,"A",V176&gt;=60,"B",V176&gt;=50,"C",V176&gt;=45,"D",V176&gt;=40,"E",V176&lt;40,"F")</f>
        <v>C</v>
      </c>
      <c r="W177" s="50" t="str" cm="1">
        <f t="array" ref="W177">_xlfn.IFS(W176&gt;= 70,"A",W176&gt;=60,"B",W176&gt;=50,"C",W176&gt;=45,"D",W176&gt;=40,"E",W176&lt;40,"F")</f>
        <v>C</v>
      </c>
      <c r="X177" s="7"/>
      <c r="Y177" s="7"/>
      <c r="Z177" s="7"/>
      <c r="AA177" s="7"/>
      <c r="AB177" s="7"/>
      <c r="AC177" s="7"/>
      <c r="AD177" s="7"/>
      <c r="AE177" s="7"/>
      <c r="AF177" s="7"/>
      <c r="AM177" s="56">
        <f t="shared" ref="AM177" si="337">SUMIFS($I$4:$W$4,I176:W176,"&gt;0")</f>
        <v>23</v>
      </c>
      <c r="AN177" s="47">
        <f t="shared" ref="AN177" si="338">(SUMIFS($I$4:$W$4,I176:W176,"&gt;0")-SUMIFS($I$4:$W$4,I177:W177,"F"))</f>
        <v>23</v>
      </c>
      <c r="AO177" s="56">
        <f t="shared" ref="AO177" si="339">SUMIFS($I$4:$W$4,I177:W177,"F")</f>
        <v>0</v>
      </c>
      <c r="AP177" s="76"/>
      <c r="AQ177" s="74"/>
      <c r="AR177" s="71"/>
    </row>
    <row r="178" spans="1:44" ht="15" thickTop="1" x14ac:dyDescent="0.3">
      <c r="A178" s="68">
        <v>87</v>
      </c>
      <c r="B178" s="70"/>
      <c r="C178" s="75"/>
      <c r="D178" s="84"/>
      <c r="E178" s="84"/>
      <c r="F178" s="84"/>
      <c r="G178" s="84"/>
      <c r="H178" s="85"/>
      <c r="I178" s="49">
        <v>56</v>
      </c>
      <c r="J178" s="49">
        <v>46</v>
      </c>
      <c r="K178" s="49">
        <v>47</v>
      </c>
      <c r="L178" s="49">
        <v>48</v>
      </c>
      <c r="M178" s="49">
        <v>49</v>
      </c>
      <c r="N178" s="49">
        <v>50</v>
      </c>
      <c r="O178" s="49">
        <v>51</v>
      </c>
      <c r="P178" s="49">
        <v>52</v>
      </c>
      <c r="Q178" s="49">
        <v>53</v>
      </c>
      <c r="R178" s="49">
        <v>54</v>
      </c>
      <c r="S178" s="49">
        <v>55</v>
      </c>
      <c r="T178" s="49">
        <v>56</v>
      </c>
      <c r="U178" s="49">
        <v>57</v>
      </c>
      <c r="V178" s="49">
        <v>58</v>
      </c>
      <c r="W178" s="49">
        <v>59</v>
      </c>
      <c r="X178" s="7"/>
      <c r="Y178" s="7"/>
      <c r="Z178" s="7"/>
      <c r="AA178" s="7"/>
      <c r="AB178" s="7"/>
      <c r="AC178" s="7"/>
      <c r="AD178" s="7"/>
      <c r="AE178" s="7"/>
      <c r="AF178" s="7"/>
      <c r="AM178" s="59"/>
      <c r="AN178" s="46"/>
      <c r="AO178" s="59"/>
      <c r="AP178" s="75" cm="1">
        <f t="array" ref="AP178">SUM(VLOOKUP(I179:W179,GRADEPOINT!$A$2:$B$7,2,0)*$I$4:$W$4)</f>
        <v>63</v>
      </c>
      <c r="AQ178" s="73">
        <f t="shared" ref="AQ178" si="340">ROUND(AP178/AM179,2)</f>
        <v>2.74</v>
      </c>
      <c r="AR178" s="72"/>
    </row>
    <row r="179" spans="1:44" ht="15" thickBot="1" x14ac:dyDescent="0.35">
      <c r="A179" s="69"/>
      <c r="B179" s="71"/>
      <c r="C179" s="86"/>
      <c r="D179" s="87"/>
      <c r="E179" s="87"/>
      <c r="F179" s="87"/>
      <c r="G179" s="87"/>
      <c r="H179" s="88"/>
      <c r="I179" s="51" t="str" cm="1">
        <f t="array" ref="I179">_xlfn.IFS(I178&gt;= 70,"A",I178&gt;=60,"B",I178&gt;=50,"C",I178&gt;=45,"D",I178&gt;=40,"E",I178&lt;40,"F")</f>
        <v>C</v>
      </c>
      <c r="J179" s="51" t="str" cm="1">
        <f t="array" ref="J179">_xlfn.IFS(J178&gt;= 70,"A",J178&gt;=60,"B",J178&gt;=50,"C",J178&gt;=45,"D",J178&gt;=40,"E",J178&lt;40,"F")</f>
        <v>D</v>
      </c>
      <c r="K179" s="51" t="str" cm="1">
        <f t="array" ref="K179">_xlfn.IFS(K178&gt;= 70,"A",K178&gt;=60,"B",K178&gt;=50,"C",K178&gt;=45,"D",K178&gt;=40,"E",K178&lt;40,"F")</f>
        <v>D</v>
      </c>
      <c r="L179" s="50" t="str" cm="1">
        <f t="array" ref="L179">_xlfn.IFS(L178&gt;= 70,"A",L178&gt;=60,"B",L178&gt;=50,"C",L178&gt;=45,"D",L178&gt;=40,"E",L178&lt;40,"F")</f>
        <v>D</v>
      </c>
      <c r="M179" s="51" t="str" cm="1">
        <f t="array" ref="M179">_xlfn.IFS(M178&gt;= 70,"A",M178&gt;=60,"B",M178&gt;=50,"C",M178&gt;=45,"D",M178&gt;=40,"E",M178&lt;40,"F")</f>
        <v>D</v>
      </c>
      <c r="N179" s="51" t="str" cm="1">
        <f t="array" ref="N179">_xlfn.IFS(N178&gt;= 70,"A",N178&gt;=60,"B",N178&gt;=50,"C",N178&gt;=45,"D",N178&gt;=40,"E",N178&lt;40,"F")</f>
        <v>C</v>
      </c>
      <c r="O179" s="51" t="str" cm="1">
        <f t="array" ref="O179">_xlfn.IFS(O178&gt;= 70,"A",O178&gt;=60,"B",O178&gt;=50,"C",O178&gt;=45,"D",O178&gt;=40,"E",O178&lt;40,"F")</f>
        <v>C</v>
      </c>
      <c r="P179" s="51" t="str" cm="1">
        <f t="array" ref="P179">_xlfn.IFS(P178&gt;= 70,"A",P178&gt;=60,"B",P178&gt;=50,"C",P178&gt;=45,"D",P178&gt;=40,"E",P178&lt;40,"F")</f>
        <v>C</v>
      </c>
      <c r="Q179" s="51" t="str" cm="1">
        <f t="array" ref="Q179">_xlfn.IFS(Q178&gt;= 70,"A",Q178&gt;=60,"B",Q178&gt;=50,"C",Q178&gt;=45,"D",Q178&gt;=40,"E",Q178&lt;40,"F")</f>
        <v>C</v>
      </c>
      <c r="R179" s="51" t="str" cm="1">
        <f t="array" ref="R179">_xlfn.IFS(R178&gt;= 70,"A",R178&gt;=60,"B",R178&gt;=50,"C",R178&gt;=45,"D",R178&gt;=40,"E",R178&lt;40,"F")</f>
        <v>C</v>
      </c>
      <c r="S179" s="51" t="str" cm="1">
        <f t="array" ref="S179">_xlfn.IFS(S178&gt;= 70,"A",S178&gt;=60,"B",S178&gt;=50,"C",S178&gt;=45,"D",S178&gt;=40,"E",S178&lt;40,"F")</f>
        <v>C</v>
      </c>
      <c r="T179" s="51" t="str" cm="1">
        <f t="array" ref="T179">_xlfn.IFS(T178&gt;= 70,"A",T178&gt;=60,"B",T178&gt;=50,"C",T178&gt;=45,"D",T178&gt;=40,"E",T178&lt;40,"F")</f>
        <v>C</v>
      </c>
      <c r="U179" s="51" t="str" cm="1">
        <f t="array" ref="U179">_xlfn.IFS(U178&gt;= 70,"A",U178&gt;=60,"B",U178&gt;=50,"C",U178&gt;=45,"D",U178&gt;=40,"E",U178&lt;40,"F")</f>
        <v>C</v>
      </c>
      <c r="V179" s="51" t="str" cm="1">
        <f t="array" ref="V179">_xlfn.IFS(V178&gt;= 70,"A",V178&gt;=60,"B",V178&gt;=50,"C",V178&gt;=45,"D",V178&gt;=40,"E",V178&lt;40,"F")</f>
        <v>C</v>
      </c>
      <c r="W179" s="50" t="str" cm="1">
        <f t="array" ref="W179">_xlfn.IFS(W178&gt;= 70,"A",W178&gt;=60,"B",W178&gt;=50,"C",W178&gt;=45,"D",W178&gt;=40,"E",W178&lt;40,"F")</f>
        <v>C</v>
      </c>
      <c r="X179" s="7"/>
      <c r="Y179" s="7"/>
      <c r="Z179" s="7"/>
      <c r="AA179" s="7"/>
      <c r="AB179" s="7"/>
      <c r="AC179" s="7"/>
      <c r="AD179" s="7"/>
      <c r="AE179" s="7"/>
      <c r="AF179" s="7"/>
      <c r="AM179" s="56">
        <f t="shared" ref="AM179" si="341">SUMIFS($I$4:$W$4,I178:W178,"&gt;0")</f>
        <v>23</v>
      </c>
      <c r="AN179" s="47">
        <f t="shared" ref="AN179" si="342">(SUMIFS($I$4:$W$4,I178:W178,"&gt;0")-SUMIFS($I$4:$W$4,I179:W179,"F"))</f>
        <v>23</v>
      </c>
      <c r="AO179" s="56">
        <f t="shared" ref="AO179" si="343">SUMIFS($I$4:$W$4,I179:W179,"F")</f>
        <v>0</v>
      </c>
      <c r="AP179" s="76"/>
      <c r="AQ179" s="74"/>
      <c r="AR179" s="71"/>
    </row>
    <row r="180" spans="1:44" ht="15" thickTop="1" x14ac:dyDescent="0.3">
      <c r="A180" s="68">
        <v>88</v>
      </c>
      <c r="B180" s="70"/>
      <c r="C180" s="75"/>
      <c r="D180" s="84"/>
      <c r="E180" s="84"/>
      <c r="F180" s="84"/>
      <c r="G180" s="84"/>
      <c r="H180" s="85"/>
      <c r="I180" s="49">
        <v>56</v>
      </c>
      <c r="J180" s="49">
        <v>46</v>
      </c>
      <c r="K180" s="49">
        <v>47</v>
      </c>
      <c r="L180" s="49">
        <v>48</v>
      </c>
      <c r="M180" s="49">
        <v>49</v>
      </c>
      <c r="N180" s="49">
        <v>50</v>
      </c>
      <c r="O180" s="49">
        <v>51</v>
      </c>
      <c r="P180" s="49">
        <v>52</v>
      </c>
      <c r="Q180" s="49">
        <v>53</v>
      </c>
      <c r="R180" s="49">
        <v>54</v>
      </c>
      <c r="S180" s="49">
        <v>55</v>
      </c>
      <c r="T180" s="49">
        <v>56</v>
      </c>
      <c r="U180" s="49">
        <v>57</v>
      </c>
      <c r="V180" s="49">
        <v>58</v>
      </c>
      <c r="W180" s="49">
        <v>59</v>
      </c>
      <c r="X180" s="7"/>
      <c r="Y180" s="7"/>
      <c r="Z180" s="7"/>
      <c r="AA180" s="7"/>
      <c r="AB180" s="7"/>
      <c r="AC180" s="7"/>
      <c r="AD180" s="7"/>
      <c r="AE180" s="7"/>
      <c r="AF180" s="7"/>
      <c r="AM180" s="59"/>
      <c r="AN180" s="46"/>
      <c r="AO180" s="59"/>
      <c r="AP180" s="75" cm="1">
        <f t="array" ref="AP180">SUM(VLOOKUP(I181:W181,GRADEPOINT!$A$2:$B$7,2,0)*$I$4:$W$4)</f>
        <v>63</v>
      </c>
      <c r="AQ180" s="73">
        <f t="shared" ref="AQ180" si="344">ROUND(AP180/AM181,2)</f>
        <v>2.74</v>
      </c>
      <c r="AR180" s="72"/>
    </row>
    <row r="181" spans="1:44" ht="15" thickBot="1" x14ac:dyDescent="0.35">
      <c r="A181" s="69"/>
      <c r="B181" s="71"/>
      <c r="C181" s="86"/>
      <c r="D181" s="87"/>
      <c r="E181" s="87"/>
      <c r="F181" s="87"/>
      <c r="G181" s="87"/>
      <c r="H181" s="88"/>
      <c r="I181" s="51" t="str" cm="1">
        <f t="array" ref="I181">_xlfn.IFS(I180&gt;= 70,"A",I180&gt;=60,"B",I180&gt;=50,"C",I180&gt;=45,"D",I180&gt;=40,"E",I180&lt;40,"F")</f>
        <v>C</v>
      </c>
      <c r="J181" s="51" t="str" cm="1">
        <f t="array" ref="J181">_xlfn.IFS(J180&gt;= 70,"A",J180&gt;=60,"B",J180&gt;=50,"C",J180&gt;=45,"D",J180&gt;=40,"E",J180&lt;40,"F")</f>
        <v>D</v>
      </c>
      <c r="K181" s="51" t="str" cm="1">
        <f t="array" ref="K181">_xlfn.IFS(K180&gt;= 70,"A",K180&gt;=60,"B",K180&gt;=50,"C",K180&gt;=45,"D",K180&gt;=40,"E",K180&lt;40,"F")</f>
        <v>D</v>
      </c>
      <c r="L181" s="50" t="str" cm="1">
        <f t="array" ref="L181">_xlfn.IFS(L180&gt;= 70,"A",L180&gt;=60,"B",L180&gt;=50,"C",L180&gt;=45,"D",L180&gt;=40,"E",L180&lt;40,"F")</f>
        <v>D</v>
      </c>
      <c r="M181" s="51" t="str" cm="1">
        <f t="array" ref="M181">_xlfn.IFS(M180&gt;= 70,"A",M180&gt;=60,"B",M180&gt;=50,"C",M180&gt;=45,"D",M180&gt;=40,"E",M180&lt;40,"F")</f>
        <v>D</v>
      </c>
      <c r="N181" s="51" t="str" cm="1">
        <f t="array" ref="N181">_xlfn.IFS(N180&gt;= 70,"A",N180&gt;=60,"B",N180&gt;=50,"C",N180&gt;=45,"D",N180&gt;=40,"E",N180&lt;40,"F")</f>
        <v>C</v>
      </c>
      <c r="O181" s="51" t="str" cm="1">
        <f t="array" ref="O181">_xlfn.IFS(O180&gt;= 70,"A",O180&gt;=60,"B",O180&gt;=50,"C",O180&gt;=45,"D",O180&gt;=40,"E",O180&lt;40,"F")</f>
        <v>C</v>
      </c>
      <c r="P181" s="51" t="str" cm="1">
        <f t="array" ref="P181">_xlfn.IFS(P180&gt;= 70,"A",P180&gt;=60,"B",P180&gt;=50,"C",P180&gt;=45,"D",P180&gt;=40,"E",P180&lt;40,"F")</f>
        <v>C</v>
      </c>
      <c r="Q181" s="51" t="str" cm="1">
        <f t="array" ref="Q181">_xlfn.IFS(Q180&gt;= 70,"A",Q180&gt;=60,"B",Q180&gt;=50,"C",Q180&gt;=45,"D",Q180&gt;=40,"E",Q180&lt;40,"F")</f>
        <v>C</v>
      </c>
      <c r="R181" s="51" t="str" cm="1">
        <f t="array" ref="R181">_xlfn.IFS(R180&gt;= 70,"A",R180&gt;=60,"B",R180&gt;=50,"C",R180&gt;=45,"D",R180&gt;=40,"E",R180&lt;40,"F")</f>
        <v>C</v>
      </c>
      <c r="S181" s="51" t="str" cm="1">
        <f t="array" ref="S181">_xlfn.IFS(S180&gt;= 70,"A",S180&gt;=60,"B",S180&gt;=50,"C",S180&gt;=45,"D",S180&gt;=40,"E",S180&lt;40,"F")</f>
        <v>C</v>
      </c>
      <c r="T181" s="51" t="str" cm="1">
        <f t="array" ref="T181">_xlfn.IFS(T180&gt;= 70,"A",T180&gt;=60,"B",T180&gt;=50,"C",T180&gt;=45,"D",T180&gt;=40,"E",T180&lt;40,"F")</f>
        <v>C</v>
      </c>
      <c r="U181" s="51" t="str" cm="1">
        <f t="array" ref="U181">_xlfn.IFS(U180&gt;= 70,"A",U180&gt;=60,"B",U180&gt;=50,"C",U180&gt;=45,"D",U180&gt;=40,"E",U180&lt;40,"F")</f>
        <v>C</v>
      </c>
      <c r="V181" s="51" t="str" cm="1">
        <f t="array" ref="V181">_xlfn.IFS(V180&gt;= 70,"A",V180&gt;=60,"B",V180&gt;=50,"C",V180&gt;=45,"D",V180&gt;=40,"E",V180&lt;40,"F")</f>
        <v>C</v>
      </c>
      <c r="W181" s="50" t="str" cm="1">
        <f t="array" ref="W181">_xlfn.IFS(W180&gt;= 70,"A",W180&gt;=60,"B",W180&gt;=50,"C",W180&gt;=45,"D",W180&gt;=40,"E",W180&lt;40,"F")</f>
        <v>C</v>
      </c>
      <c r="X181" s="7"/>
      <c r="Y181" s="7"/>
      <c r="Z181" s="7"/>
      <c r="AA181" s="7"/>
      <c r="AB181" s="7"/>
      <c r="AC181" s="7"/>
      <c r="AD181" s="7"/>
      <c r="AE181" s="7"/>
      <c r="AF181" s="7"/>
      <c r="AM181" s="56">
        <f t="shared" ref="AM181" si="345">SUMIFS($I$4:$W$4,I180:W180,"&gt;0")</f>
        <v>23</v>
      </c>
      <c r="AN181" s="47">
        <f t="shared" ref="AN181" si="346">(SUMIFS($I$4:$W$4,I180:W180,"&gt;0")-SUMIFS($I$4:$W$4,I181:W181,"F"))</f>
        <v>23</v>
      </c>
      <c r="AO181" s="56">
        <f t="shared" ref="AO181" si="347">SUMIFS($I$4:$W$4,I181:W181,"F")</f>
        <v>0</v>
      </c>
      <c r="AP181" s="76"/>
      <c r="AQ181" s="74"/>
      <c r="AR181" s="71"/>
    </row>
    <row r="182" spans="1:44" ht="15" thickTop="1" x14ac:dyDescent="0.3">
      <c r="A182" s="68">
        <v>89</v>
      </c>
      <c r="B182" s="70"/>
      <c r="C182" s="75"/>
      <c r="D182" s="84"/>
      <c r="E182" s="84"/>
      <c r="F182" s="84"/>
      <c r="G182" s="84"/>
      <c r="H182" s="85"/>
      <c r="I182" s="49">
        <v>56</v>
      </c>
      <c r="J182" s="49">
        <v>46</v>
      </c>
      <c r="K182" s="49">
        <v>47</v>
      </c>
      <c r="L182" s="49">
        <v>48</v>
      </c>
      <c r="M182" s="49">
        <v>49</v>
      </c>
      <c r="N182" s="49">
        <v>50</v>
      </c>
      <c r="O182" s="49">
        <v>51</v>
      </c>
      <c r="P182" s="49">
        <v>52</v>
      </c>
      <c r="Q182" s="49">
        <v>53</v>
      </c>
      <c r="R182" s="49">
        <v>54</v>
      </c>
      <c r="S182" s="49">
        <v>55</v>
      </c>
      <c r="T182" s="49">
        <v>56</v>
      </c>
      <c r="U182" s="49">
        <v>57</v>
      </c>
      <c r="V182" s="49">
        <v>58</v>
      </c>
      <c r="W182" s="49">
        <v>59</v>
      </c>
      <c r="X182" s="7"/>
      <c r="Y182" s="7"/>
      <c r="Z182" s="7"/>
      <c r="AA182" s="7"/>
      <c r="AB182" s="7"/>
      <c r="AC182" s="7"/>
      <c r="AD182" s="7"/>
      <c r="AE182" s="7"/>
      <c r="AF182" s="7"/>
      <c r="AM182" s="59"/>
      <c r="AN182" s="46"/>
      <c r="AO182" s="59"/>
      <c r="AP182" s="75" cm="1">
        <f t="array" ref="AP182">SUM(VLOOKUP(I183:W183,GRADEPOINT!$A$2:$B$7,2,0)*$I$4:$W$4)</f>
        <v>63</v>
      </c>
      <c r="AQ182" s="73">
        <f t="shared" ref="AQ182" si="348">ROUND(AP182/AM183,2)</f>
        <v>2.74</v>
      </c>
      <c r="AR182" s="72"/>
    </row>
    <row r="183" spans="1:44" ht="15" thickBot="1" x14ac:dyDescent="0.35">
      <c r="A183" s="69"/>
      <c r="B183" s="71"/>
      <c r="C183" s="86"/>
      <c r="D183" s="87"/>
      <c r="E183" s="87"/>
      <c r="F183" s="87"/>
      <c r="G183" s="87"/>
      <c r="H183" s="88"/>
      <c r="I183" s="51" t="str" cm="1">
        <f t="array" ref="I183">_xlfn.IFS(I182&gt;= 70,"A",I182&gt;=60,"B",I182&gt;=50,"C",I182&gt;=45,"D",I182&gt;=40,"E",I182&lt;40,"F")</f>
        <v>C</v>
      </c>
      <c r="J183" s="51" t="str" cm="1">
        <f t="array" ref="J183">_xlfn.IFS(J182&gt;= 70,"A",J182&gt;=60,"B",J182&gt;=50,"C",J182&gt;=45,"D",J182&gt;=40,"E",J182&lt;40,"F")</f>
        <v>D</v>
      </c>
      <c r="K183" s="51" t="str" cm="1">
        <f t="array" ref="K183">_xlfn.IFS(K182&gt;= 70,"A",K182&gt;=60,"B",K182&gt;=50,"C",K182&gt;=45,"D",K182&gt;=40,"E",K182&lt;40,"F")</f>
        <v>D</v>
      </c>
      <c r="L183" s="50" t="str" cm="1">
        <f t="array" ref="L183">_xlfn.IFS(L182&gt;= 70,"A",L182&gt;=60,"B",L182&gt;=50,"C",L182&gt;=45,"D",L182&gt;=40,"E",L182&lt;40,"F")</f>
        <v>D</v>
      </c>
      <c r="M183" s="51" t="str" cm="1">
        <f t="array" ref="M183">_xlfn.IFS(M182&gt;= 70,"A",M182&gt;=60,"B",M182&gt;=50,"C",M182&gt;=45,"D",M182&gt;=40,"E",M182&lt;40,"F")</f>
        <v>D</v>
      </c>
      <c r="N183" s="51" t="str" cm="1">
        <f t="array" ref="N183">_xlfn.IFS(N182&gt;= 70,"A",N182&gt;=60,"B",N182&gt;=50,"C",N182&gt;=45,"D",N182&gt;=40,"E",N182&lt;40,"F")</f>
        <v>C</v>
      </c>
      <c r="O183" s="51" t="str" cm="1">
        <f t="array" ref="O183">_xlfn.IFS(O182&gt;= 70,"A",O182&gt;=60,"B",O182&gt;=50,"C",O182&gt;=45,"D",O182&gt;=40,"E",O182&lt;40,"F")</f>
        <v>C</v>
      </c>
      <c r="P183" s="51" t="str" cm="1">
        <f t="array" ref="P183">_xlfn.IFS(P182&gt;= 70,"A",P182&gt;=60,"B",P182&gt;=50,"C",P182&gt;=45,"D",P182&gt;=40,"E",P182&lt;40,"F")</f>
        <v>C</v>
      </c>
      <c r="Q183" s="51" t="str" cm="1">
        <f t="array" ref="Q183">_xlfn.IFS(Q182&gt;= 70,"A",Q182&gt;=60,"B",Q182&gt;=50,"C",Q182&gt;=45,"D",Q182&gt;=40,"E",Q182&lt;40,"F")</f>
        <v>C</v>
      </c>
      <c r="R183" s="51" t="str" cm="1">
        <f t="array" ref="R183">_xlfn.IFS(R182&gt;= 70,"A",R182&gt;=60,"B",R182&gt;=50,"C",R182&gt;=45,"D",R182&gt;=40,"E",R182&lt;40,"F")</f>
        <v>C</v>
      </c>
      <c r="S183" s="51" t="str" cm="1">
        <f t="array" ref="S183">_xlfn.IFS(S182&gt;= 70,"A",S182&gt;=60,"B",S182&gt;=50,"C",S182&gt;=45,"D",S182&gt;=40,"E",S182&lt;40,"F")</f>
        <v>C</v>
      </c>
      <c r="T183" s="51" t="str" cm="1">
        <f t="array" ref="T183">_xlfn.IFS(T182&gt;= 70,"A",T182&gt;=60,"B",T182&gt;=50,"C",T182&gt;=45,"D",T182&gt;=40,"E",T182&lt;40,"F")</f>
        <v>C</v>
      </c>
      <c r="U183" s="51" t="str" cm="1">
        <f t="array" ref="U183">_xlfn.IFS(U182&gt;= 70,"A",U182&gt;=60,"B",U182&gt;=50,"C",U182&gt;=45,"D",U182&gt;=40,"E",U182&lt;40,"F")</f>
        <v>C</v>
      </c>
      <c r="V183" s="51" t="str" cm="1">
        <f t="array" ref="V183">_xlfn.IFS(V182&gt;= 70,"A",V182&gt;=60,"B",V182&gt;=50,"C",V182&gt;=45,"D",V182&gt;=40,"E",V182&lt;40,"F")</f>
        <v>C</v>
      </c>
      <c r="W183" s="50" t="str" cm="1">
        <f t="array" ref="W183">_xlfn.IFS(W182&gt;= 70,"A",W182&gt;=60,"B",W182&gt;=50,"C",W182&gt;=45,"D",W182&gt;=40,"E",W182&lt;40,"F")</f>
        <v>C</v>
      </c>
      <c r="X183" s="7"/>
      <c r="Y183" s="7"/>
      <c r="Z183" s="7"/>
      <c r="AA183" s="7"/>
      <c r="AB183" s="7"/>
      <c r="AC183" s="7"/>
      <c r="AD183" s="7"/>
      <c r="AE183" s="7"/>
      <c r="AF183" s="7"/>
      <c r="AM183" s="56">
        <f t="shared" ref="AM183" si="349">SUMIFS($I$4:$W$4,I182:W182,"&gt;0")</f>
        <v>23</v>
      </c>
      <c r="AN183" s="47">
        <f t="shared" ref="AN183" si="350">(SUMIFS($I$4:$W$4,I182:W182,"&gt;0")-SUMIFS($I$4:$W$4,I183:W183,"F"))</f>
        <v>23</v>
      </c>
      <c r="AO183" s="56">
        <f t="shared" ref="AO183" si="351">SUMIFS($I$4:$W$4,I183:W183,"F")</f>
        <v>0</v>
      </c>
      <c r="AP183" s="76"/>
      <c r="AQ183" s="74"/>
      <c r="AR183" s="71"/>
    </row>
    <row r="184" spans="1:44" ht="15" thickTop="1" x14ac:dyDescent="0.3">
      <c r="A184" s="68">
        <v>90</v>
      </c>
      <c r="B184" s="70"/>
      <c r="C184" s="75"/>
      <c r="D184" s="84"/>
      <c r="E184" s="84"/>
      <c r="F184" s="84"/>
      <c r="G184" s="84"/>
      <c r="H184" s="85"/>
      <c r="I184" s="49">
        <v>56</v>
      </c>
      <c r="J184" s="49">
        <v>46</v>
      </c>
      <c r="K184" s="49">
        <v>47</v>
      </c>
      <c r="L184" s="49">
        <v>48</v>
      </c>
      <c r="M184" s="49">
        <v>49</v>
      </c>
      <c r="N184" s="49">
        <v>50</v>
      </c>
      <c r="O184" s="49">
        <v>51</v>
      </c>
      <c r="P184" s="49">
        <v>52</v>
      </c>
      <c r="Q184" s="49">
        <v>53</v>
      </c>
      <c r="R184" s="49">
        <v>54</v>
      </c>
      <c r="S184" s="49">
        <v>55</v>
      </c>
      <c r="T184" s="49">
        <v>56</v>
      </c>
      <c r="U184" s="49">
        <v>57</v>
      </c>
      <c r="V184" s="49">
        <v>58</v>
      </c>
      <c r="W184" s="49">
        <v>59</v>
      </c>
      <c r="X184" s="7"/>
      <c r="Y184" s="7"/>
      <c r="Z184" s="7"/>
      <c r="AA184" s="7"/>
      <c r="AB184" s="7"/>
      <c r="AC184" s="7"/>
      <c r="AD184" s="7"/>
      <c r="AE184" s="7"/>
      <c r="AF184" s="7"/>
      <c r="AM184" s="59"/>
      <c r="AN184" s="46"/>
      <c r="AO184" s="59"/>
      <c r="AP184" s="75" cm="1">
        <f t="array" ref="AP184">SUM(VLOOKUP(I185:W185,GRADEPOINT!$A$2:$B$7,2,0)*$I$4:$W$4)</f>
        <v>63</v>
      </c>
      <c r="AQ184" s="73">
        <f t="shared" ref="AQ184" si="352">ROUND(AP184/AM185,2)</f>
        <v>2.74</v>
      </c>
      <c r="AR184" s="72"/>
    </row>
    <row r="185" spans="1:44" ht="15" thickBot="1" x14ac:dyDescent="0.35">
      <c r="A185" s="69"/>
      <c r="B185" s="71"/>
      <c r="C185" s="86"/>
      <c r="D185" s="87"/>
      <c r="E185" s="87"/>
      <c r="F185" s="87"/>
      <c r="G185" s="87"/>
      <c r="H185" s="88"/>
      <c r="I185" s="51" t="str" cm="1">
        <f t="array" ref="I185">_xlfn.IFS(I184&gt;= 70,"A",I184&gt;=60,"B",I184&gt;=50,"C",I184&gt;=45,"D",I184&gt;=40,"E",I184&lt;40,"F")</f>
        <v>C</v>
      </c>
      <c r="J185" s="51" t="str" cm="1">
        <f t="array" ref="J185">_xlfn.IFS(J184&gt;= 70,"A",J184&gt;=60,"B",J184&gt;=50,"C",J184&gt;=45,"D",J184&gt;=40,"E",J184&lt;40,"F")</f>
        <v>D</v>
      </c>
      <c r="K185" s="51" t="str" cm="1">
        <f t="array" ref="K185">_xlfn.IFS(K184&gt;= 70,"A",K184&gt;=60,"B",K184&gt;=50,"C",K184&gt;=45,"D",K184&gt;=40,"E",K184&lt;40,"F")</f>
        <v>D</v>
      </c>
      <c r="L185" s="50" t="str" cm="1">
        <f t="array" ref="L185">_xlfn.IFS(L184&gt;= 70,"A",L184&gt;=60,"B",L184&gt;=50,"C",L184&gt;=45,"D",L184&gt;=40,"E",L184&lt;40,"F")</f>
        <v>D</v>
      </c>
      <c r="M185" s="51" t="str" cm="1">
        <f t="array" ref="M185">_xlfn.IFS(M184&gt;= 70,"A",M184&gt;=60,"B",M184&gt;=50,"C",M184&gt;=45,"D",M184&gt;=40,"E",M184&lt;40,"F")</f>
        <v>D</v>
      </c>
      <c r="N185" s="51" t="str" cm="1">
        <f t="array" ref="N185">_xlfn.IFS(N184&gt;= 70,"A",N184&gt;=60,"B",N184&gt;=50,"C",N184&gt;=45,"D",N184&gt;=40,"E",N184&lt;40,"F")</f>
        <v>C</v>
      </c>
      <c r="O185" s="51" t="str" cm="1">
        <f t="array" ref="O185">_xlfn.IFS(O184&gt;= 70,"A",O184&gt;=60,"B",O184&gt;=50,"C",O184&gt;=45,"D",O184&gt;=40,"E",O184&lt;40,"F")</f>
        <v>C</v>
      </c>
      <c r="P185" s="51" t="str" cm="1">
        <f t="array" ref="P185">_xlfn.IFS(P184&gt;= 70,"A",P184&gt;=60,"B",P184&gt;=50,"C",P184&gt;=45,"D",P184&gt;=40,"E",P184&lt;40,"F")</f>
        <v>C</v>
      </c>
      <c r="Q185" s="51" t="str" cm="1">
        <f t="array" ref="Q185">_xlfn.IFS(Q184&gt;= 70,"A",Q184&gt;=60,"B",Q184&gt;=50,"C",Q184&gt;=45,"D",Q184&gt;=40,"E",Q184&lt;40,"F")</f>
        <v>C</v>
      </c>
      <c r="R185" s="51" t="str" cm="1">
        <f t="array" ref="R185">_xlfn.IFS(R184&gt;= 70,"A",R184&gt;=60,"B",R184&gt;=50,"C",R184&gt;=45,"D",R184&gt;=40,"E",R184&lt;40,"F")</f>
        <v>C</v>
      </c>
      <c r="S185" s="51" t="str" cm="1">
        <f t="array" ref="S185">_xlfn.IFS(S184&gt;= 70,"A",S184&gt;=60,"B",S184&gt;=50,"C",S184&gt;=45,"D",S184&gt;=40,"E",S184&lt;40,"F")</f>
        <v>C</v>
      </c>
      <c r="T185" s="51" t="str" cm="1">
        <f t="array" ref="T185">_xlfn.IFS(T184&gt;= 70,"A",T184&gt;=60,"B",T184&gt;=50,"C",T184&gt;=45,"D",T184&gt;=40,"E",T184&lt;40,"F")</f>
        <v>C</v>
      </c>
      <c r="U185" s="51" t="str" cm="1">
        <f t="array" ref="U185">_xlfn.IFS(U184&gt;= 70,"A",U184&gt;=60,"B",U184&gt;=50,"C",U184&gt;=45,"D",U184&gt;=40,"E",U184&lt;40,"F")</f>
        <v>C</v>
      </c>
      <c r="V185" s="51" t="str" cm="1">
        <f t="array" ref="V185">_xlfn.IFS(V184&gt;= 70,"A",V184&gt;=60,"B",V184&gt;=50,"C",V184&gt;=45,"D",V184&gt;=40,"E",V184&lt;40,"F")</f>
        <v>C</v>
      </c>
      <c r="W185" s="50" t="str" cm="1">
        <f t="array" ref="W185">_xlfn.IFS(W184&gt;= 70,"A",W184&gt;=60,"B",W184&gt;=50,"C",W184&gt;=45,"D",W184&gt;=40,"E",W184&lt;40,"F")</f>
        <v>C</v>
      </c>
      <c r="X185" s="7"/>
      <c r="Y185" s="7"/>
      <c r="Z185" s="7"/>
      <c r="AA185" s="7"/>
      <c r="AB185" s="7"/>
      <c r="AC185" s="7"/>
      <c r="AD185" s="7"/>
      <c r="AE185" s="7"/>
      <c r="AF185" s="7"/>
      <c r="AM185" s="56">
        <f t="shared" ref="AM185" si="353">SUMIFS($I$4:$W$4,I184:W184,"&gt;0")</f>
        <v>23</v>
      </c>
      <c r="AN185" s="47">
        <f t="shared" ref="AN185" si="354">(SUMIFS($I$4:$W$4,I184:W184,"&gt;0")-SUMIFS($I$4:$W$4,I185:W185,"F"))</f>
        <v>23</v>
      </c>
      <c r="AO185" s="56">
        <f t="shared" ref="AO185" si="355">SUMIFS($I$4:$W$4,I185:W185,"F")</f>
        <v>0</v>
      </c>
      <c r="AP185" s="76"/>
      <c r="AQ185" s="74"/>
      <c r="AR185" s="71"/>
    </row>
    <row r="186" spans="1:44" ht="15" thickTop="1" x14ac:dyDescent="0.3">
      <c r="A186" s="68">
        <v>91</v>
      </c>
      <c r="B186" s="70"/>
      <c r="C186" s="75"/>
      <c r="D186" s="84"/>
      <c r="E186" s="84"/>
      <c r="F186" s="84"/>
      <c r="G186" s="84"/>
      <c r="H186" s="85"/>
      <c r="I186" s="49">
        <v>56</v>
      </c>
      <c r="J186" s="49">
        <v>46</v>
      </c>
      <c r="K186" s="49">
        <v>47</v>
      </c>
      <c r="L186" s="49">
        <v>48</v>
      </c>
      <c r="M186" s="49">
        <v>49</v>
      </c>
      <c r="N186" s="49">
        <v>50</v>
      </c>
      <c r="O186" s="49">
        <v>51</v>
      </c>
      <c r="P186" s="49">
        <v>52</v>
      </c>
      <c r="Q186" s="49">
        <v>53</v>
      </c>
      <c r="R186" s="49">
        <v>54</v>
      </c>
      <c r="S186" s="49">
        <v>55</v>
      </c>
      <c r="T186" s="49">
        <v>56</v>
      </c>
      <c r="U186" s="49">
        <v>57</v>
      </c>
      <c r="V186" s="49">
        <v>58</v>
      </c>
      <c r="W186" s="49">
        <v>59</v>
      </c>
      <c r="X186" s="7"/>
      <c r="Y186" s="7"/>
      <c r="Z186" s="7"/>
      <c r="AA186" s="7"/>
      <c r="AB186" s="7"/>
      <c r="AC186" s="7"/>
      <c r="AD186" s="7"/>
      <c r="AE186" s="7"/>
      <c r="AF186" s="7"/>
      <c r="AM186" s="59"/>
      <c r="AN186" s="46"/>
      <c r="AO186" s="59"/>
      <c r="AP186" s="75" cm="1">
        <f t="array" ref="AP186">SUM(VLOOKUP(I187:W187,GRADEPOINT!$A$2:$B$7,2,0)*$I$4:$W$4)</f>
        <v>63</v>
      </c>
      <c r="AQ186" s="73">
        <f t="shared" ref="AQ186" si="356">ROUND(AP186/AM187,2)</f>
        <v>2.74</v>
      </c>
      <c r="AR186" s="72"/>
    </row>
    <row r="187" spans="1:44" ht="15" thickBot="1" x14ac:dyDescent="0.35">
      <c r="A187" s="69"/>
      <c r="B187" s="71"/>
      <c r="C187" s="86"/>
      <c r="D187" s="87"/>
      <c r="E187" s="87"/>
      <c r="F187" s="87"/>
      <c r="G187" s="87"/>
      <c r="H187" s="88"/>
      <c r="I187" s="51" t="str" cm="1">
        <f t="array" ref="I187">_xlfn.IFS(I186&gt;= 70,"A",I186&gt;=60,"B",I186&gt;=50,"C",I186&gt;=45,"D",I186&gt;=40,"E",I186&lt;40,"F")</f>
        <v>C</v>
      </c>
      <c r="J187" s="51" t="str" cm="1">
        <f t="array" ref="J187">_xlfn.IFS(J186&gt;= 70,"A",J186&gt;=60,"B",J186&gt;=50,"C",J186&gt;=45,"D",J186&gt;=40,"E",J186&lt;40,"F")</f>
        <v>D</v>
      </c>
      <c r="K187" s="51" t="str" cm="1">
        <f t="array" ref="K187">_xlfn.IFS(K186&gt;= 70,"A",K186&gt;=60,"B",K186&gt;=50,"C",K186&gt;=45,"D",K186&gt;=40,"E",K186&lt;40,"F")</f>
        <v>D</v>
      </c>
      <c r="L187" s="50" t="str" cm="1">
        <f t="array" ref="L187">_xlfn.IFS(L186&gt;= 70,"A",L186&gt;=60,"B",L186&gt;=50,"C",L186&gt;=45,"D",L186&gt;=40,"E",L186&lt;40,"F")</f>
        <v>D</v>
      </c>
      <c r="M187" s="51" t="str" cm="1">
        <f t="array" ref="M187">_xlfn.IFS(M186&gt;= 70,"A",M186&gt;=60,"B",M186&gt;=50,"C",M186&gt;=45,"D",M186&gt;=40,"E",M186&lt;40,"F")</f>
        <v>D</v>
      </c>
      <c r="N187" s="51" t="str" cm="1">
        <f t="array" ref="N187">_xlfn.IFS(N186&gt;= 70,"A",N186&gt;=60,"B",N186&gt;=50,"C",N186&gt;=45,"D",N186&gt;=40,"E",N186&lt;40,"F")</f>
        <v>C</v>
      </c>
      <c r="O187" s="51" t="str" cm="1">
        <f t="array" ref="O187">_xlfn.IFS(O186&gt;= 70,"A",O186&gt;=60,"B",O186&gt;=50,"C",O186&gt;=45,"D",O186&gt;=40,"E",O186&lt;40,"F")</f>
        <v>C</v>
      </c>
      <c r="P187" s="51" t="str" cm="1">
        <f t="array" ref="P187">_xlfn.IFS(P186&gt;= 70,"A",P186&gt;=60,"B",P186&gt;=50,"C",P186&gt;=45,"D",P186&gt;=40,"E",P186&lt;40,"F")</f>
        <v>C</v>
      </c>
      <c r="Q187" s="51" t="str" cm="1">
        <f t="array" ref="Q187">_xlfn.IFS(Q186&gt;= 70,"A",Q186&gt;=60,"B",Q186&gt;=50,"C",Q186&gt;=45,"D",Q186&gt;=40,"E",Q186&lt;40,"F")</f>
        <v>C</v>
      </c>
      <c r="R187" s="51" t="str" cm="1">
        <f t="array" ref="R187">_xlfn.IFS(R186&gt;= 70,"A",R186&gt;=60,"B",R186&gt;=50,"C",R186&gt;=45,"D",R186&gt;=40,"E",R186&lt;40,"F")</f>
        <v>C</v>
      </c>
      <c r="S187" s="51" t="str" cm="1">
        <f t="array" ref="S187">_xlfn.IFS(S186&gt;= 70,"A",S186&gt;=60,"B",S186&gt;=50,"C",S186&gt;=45,"D",S186&gt;=40,"E",S186&lt;40,"F")</f>
        <v>C</v>
      </c>
      <c r="T187" s="51" t="str" cm="1">
        <f t="array" ref="T187">_xlfn.IFS(T186&gt;= 70,"A",T186&gt;=60,"B",T186&gt;=50,"C",T186&gt;=45,"D",T186&gt;=40,"E",T186&lt;40,"F")</f>
        <v>C</v>
      </c>
      <c r="U187" s="51" t="str" cm="1">
        <f t="array" ref="U187">_xlfn.IFS(U186&gt;= 70,"A",U186&gt;=60,"B",U186&gt;=50,"C",U186&gt;=45,"D",U186&gt;=40,"E",U186&lt;40,"F")</f>
        <v>C</v>
      </c>
      <c r="V187" s="51" t="str" cm="1">
        <f t="array" ref="V187">_xlfn.IFS(V186&gt;= 70,"A",V186&gt;=60,"B",V186&gt;=50,"C",V186&gt;=45,"D",V186&gt;=40,"E",V186&lt;40,"F")</f>
        <v>C</v>
      </c>
      <c r="W187" s="50" t="str" cm="1">
        <f t="array" ref="W187">_xlfn.IFS(W186&gt;= 70,"A",W186&gt;=60,"B",W186&gt;=50,"C",W186&gt;=45,"D",W186&gt;=40,"E",W186&lt;40,"F")</f>
        <v>C</v>
      </c>
      <c r="X187" s="7"/>
      <c r="Y187" s="7"/>
      <c r="Z187" s="7"/>
      <c r="AA187" s="7"/>
      <c r="AB187" s="7"/>
      <c r="AC187" s="7"/>
      <c r="AD187" s="7"/>
      <c r="AE187" s="7"/>
      <c r="AF187" s="7"/>
      <c r="AM187" s="56">
        <f t="shared" ref="AM187" si="357">SUMIFS($I$4:$W$4,I186:W186,"&gt;0")</f>
        <v>23</v>
      </c>
      <c r="AN187" s="47">
        <f t="shared" ref="AN187" si="358">(SUMIFS($I$4:$W$4,I186:W186,"&gt;0")-SUMIFS($I$4:$W$4,I187:W187,"F"))</f>
        <v>23</v>
      </c>
      <c r="AO187" s="56">
        <f t="shared" ref="AO187" si="359">SUMIFS($I$4:$W$4,I187:W187,"F")</f>
        <v>0</v>
      </c>
      <c r="AP187" s="76"/>
      <c r="AQ187" s="74"/>
      <c r="AR187" s="71"/>
    </row>
    <row r="188" spans="1:44" ht="15" thickTop="1" x14ac:dyDescent="0.3">
      <c r="A188" s="68">
        <v>92</v>
      </c>
      <c r="B188" s="70"/>
      <c r="C188" s="75"/>
      <c r="D188" s="84"/>
      <c r="E188" s="84"/>
      <c r="F188" s="84"/>
      <c r="G188" s="84"/>
      <c r="H188" s="85"/>
      <c r="I188" s="49">
        <v>56</v>
      </c>
      <c r="J188" s="49">
        <v>46</v>
      </c>
      <c r="K188" s="49">
        <v>47</v>
      </c>
      <c r="L188" s="49">
        <v>48</v>
      </c>
      <c r="M188" s="49">
        <v>49</v>
      </c>
      <c r="N188" s="49">
        <v>50</v>
      </c>
      <c r="O188" s="49">
        <v>51</v>
      </c>
      <c r="P188" s="49">
        <v>52</v>
      </c>
      <c r="Q188" s="49">
        <v>53</v>
      </c>
      <c r="R188" s="49">
        <v>54</v>
      </c>
      <c r="S188" s="49">
        <v>55</v>
      </c>
      <c r="T188" s="49">
        <v>56</v>
      </c>
      <c r="U188" s="49">
        <v>57</v>
      </c>
      <c r="V188" s="49">
        <v>58</v>
      </c>
      <c r="W188" s="49">
        <v>59</v>
      </c>
      <c r="X188" s="7"/>
      <c r="Y188" s="7"/>
      <c r="Z188" s="7"/>
      <c r="AA188" s="7"/>
      <c r="AB188" s="7"/>
      <c r="AC188" s="7"/>
      <c r="AD188" s="7"/>
      <c r="AE188" s="7"/>
      <c r="AF188" s="7"/>
      <c r="AM188" s="59"/>
      <c r="AN188" s="46"/>
      <c r="AO188" s="59"/>
      <c r="AP188" s="75" cm="1">
        <f t="array" ref="AP188">SUM(VLOOKUP(I189:W189,GRADEPOINT!$A$2:$B$7,2,0)*$I$4:$W$4)</f>
        <v>63</v>
      </c>
      <c r="AQ188" s="73">
        <f t="shared" ref="AQ188" si="360">ROUND(AP188/AM189,2)</f>
        <v>2.74</v>
      </c>
      <c r="AR188" s="72"/>
    </row>
    <row r="189" spans="1:44" ht="15" thickBot="1" x14ac:dyDescent="0.35">
      <c r="A189" s="69"/>
      <c r="B189" s="71"/>
      <c r="C189" s="86"/>
      <c r="D189" s="87"/>
      <c r="E189" s="87"/>
      <c r="F189" s="87"/>
      <c r="G189" s="87"/>
      <c r="H189" s="88"/>
      <c r="I189" s="51" t="str" cm="1">
        <f t="array" ref="I189">_xlfn.IFS(I188&gt;= 70,"A",I188&gt;=60,"B",I188&gt;=50,"C",I188&gt;=45,"D",I188&gt;=40,"E",I188&lt;40,"F")</f>
        <v>C</v>
      </c>
      <c r="J189" s="51" t="str" cm="1">
        <f t="array" ref="J189">_xlfn.IFS(J188&gt;= 70,"A",J188&gt;=60,"B",J188&gt;=50,"C",J188&gt;=45,"D",J188&gt;=40,"E",J188&lt;40,"F")</f>
        <v>D</v>
      </c>
      <c r="K189" s="51" t="str" cm="1">
        <f t="array" ref="K189">_xlfn.IFS(K188&gt;= 70,"A",K188&gt;=60,"B",K188&gt;=50,"C",K188&gt;=45,"D",K188&gt;=40,"E",K188&lt;40,"F")</f>
        <v>D</v>
      </c>
      <c r="L189" s="50" t="str" cm="1">
        <f t="array" ref="L189">_xlfn.IFS(L188&gt;= 70,"A",L188&gt;=60,"B",L188&gt;=50,"C",L188&gt;=45,"D",L188&gt;=40,"E",L188&lt;40,"F")</f>
        <v>D</v>
      </c>
      <c r="M189" s="51" t="str" cm="1">
        <f t="array" ref="M189">_xlfn.IFS(M188&gt;= 70,"A",M188&gt;=60,"B",M188&gt;=50,"C",M188&gt;=45,"D",M188&gt;=40,"E",M188&lt;40,"F")</f>
        <v>D</v>
      </c>
      <c r="N189" s="51" t="str" cm="1">
        <f t="array" ref="N189">_xlfn.IFS(N188&gt;= 70,"A",N188&gt;=60,"B",N188&gt;=50,"C",N188&gt;=45,"D",N188&gt;=40,"E",N188&lt;40,"F")</f>
        <v>C</v>
      </c>
      <c r="O189" s="51" t="str" cm="1">
        <f t="array" ref="O189">_xlfn.IFS(O188&gt;= 70,"A",O188&gt;=60,"B",O188&gt;=50,"C",O188&gt;=45,"D",O188&gt;=40,"E",O188&lt;40,"F")</f>
        <v>C</v>
      </c>
      <c r="P189" s="51" t="str" cm="1">
        <f t="array" ref="P189">_xlfn.IFS(P188&gt;= 70,"A",P188&gt;=60,"B",P188&gt;=50,"C",P188&gt;=45,"D",P188&gt;=40,"E",P188&lt;40,"F")</f>
        <v>C</v>
      </c>
      <c r="Q189" s="51" t="str" cm="1">
        <f t="array" ref="Q189">_xlfn.IFS(Q188&gt;= 70,"A",Q188&gt;=60,"B",Q188&gt;=50,"C",Q188&gt;=45,"D",Q188&gt;=40,"E",Q188&lt;40,"F")</f>
        <v>C</v>
      </c>
      <c r="R189" s="51" t="str" cm="1">
        <f t="array" ref="R189">_xlfn.IFS(R188&gt;= 70,"A",R188&gt;=60,"B",R188&gt;=50,"C",R188&gt;=45,"D",R188&gt;=40,"E",R188&lt;40,"F")</f>
        <v>C</v>
      </c>
      <c r="S189" s="51" t="str" cm="1">
        <f t="array" ref="S189">_xlfn.IFS(S188&gt;= 70,"A",S188&gt;=60,"B",S188&gt;=50,"C",S188&gt;=45,"D",S188&gt;=40,"E",S188&lt;40,"F")</f>
        <v>C</v>
      </c>
      <c r="T189" s="51" t="str" cm="1">
        <f t="array" ref="T189">_xlfn.IFS(T188&gt;= 70,"A",T188&gt;=60,"B",T188&gt;=50,"C",T188&gt;=45,"D",T188&gt;=40,"E",T188&lt;40,"F")</f>
        <v>C</v>
      </c>
      <c r="U189" s="51" t="str" cm="1">
        <f t="array" ref="U189">_xlfn.IFS(U188&gt;= 70,"A",U188&gt;=60,"B",U188&gt;=50,"C",U188&gt;=45,"D",U188&gt;=40,"E",U188&lt;40,"F")</f>
        <v>C</v>
      </c>
      <c r="V189" s="51" t="str" cm="1">
        <f t="array" ref="V189">_xlfn.IFS(V188&gt;= 70,"A",V188&gt;=60,"B",V188&gt;=50,"C",V188&gt;=45,"D",V188&gt;=40,"E",V188&lt;40,"F")</f>
        <v>C</v>
      </c>
      <c r="W189" s="50" t="str" cm="1">
        <f t="array" ref="W189">_xlfn.IFS(W188&gt;= 70,"A",W188&gt;=60,"B",W188&gt;=50,"C",W188&gt;=45,"D",W188&gt;=40,"E",W188&lt;40,"F")</f>
        <v>C</v>
      </c>
      <c r="X189" s="7"/>
      <c r="Y189" s="7"/>
      <c r="Z189" s="7"/>
      <c r="AA189" s="7"/>
      <c r="AB189" s="7"/>
      <c r="AC189" s="7"/>
      <c r="AD189" s="7"/>
      <c r="AE189" s="7"/>
      <c r="AF189" s="7"/>
      <c r="AM189" s="56">
        <f t="shared" ref="AM189" si="361">SUMIFS($I$4:$W$4,I188:W188,"&gt;0")</f>
        <v>23</v>
      </c>
      <c r="AN189" s="47">
        <f t="shared" ref="AN189" si="362">(SUMIFS($I$4:$W$4,I188:W188,"&gt;0")-SUMIFS($I$4:$W$4,I189:W189,"F"))</f>
        <v>23</v>
      </c>
      <c r="AO189" s="56">
        <f t="shared" ref="AO189" si="363">SUMIFS($I$4:$W$4,I189:W189,"F")</f>
        <v>0</v>
      </c>
      <c r="AP189" s="76"/>
      <c r="AQ189" s="74"/>
      <c r="AR189" s="71"/>
    </row>
    <row r="190" spans="1:44" ht="15" thickTop="1" x14ac:dyDescent="0.3">
      <c r="A190" s="68">
        <v>93</v>
      </c>
      <c r="B190" s="70"/>
      <c r="C190" s="75"/>
      <c r="D190" s="84"/>
      <c r="E190" s="84"/>
      <c r="F190" s="84"/>
      <c r="G190" s="84"/>
      <c r="H190" s="85"/>
      <c r="I190" s="49">
        <v>56</v>
      </c>
      <c r="J190" s="49">
        <v>46</v>
      </c>
      <c r="K190" s="49">
        <v>47</v>
      </c>
      <c r="L190" s="49">
        <v>48</v>
      </c>
      <c r="M190" s="49">
        <v>49</v>
      </c>
      <c r="N190" s="49">
        <v>50</v>
      </c>
      <c r="O190" s="49">
        <v>51</v>
      </c>
      <c r="P190" s="49">
        <v>52</v>
      </c>
      <c r="Q190" s="49">
        <v>53</v>
      </c>
      <c r="R190" s="49">
        <v>54</v>
      </c>
      <c r="S190" s="49">
        <v>55</v>
      </c>
      <c r="T190" s="49">
        <v>56</v>
      </c>
      <c r="U190" s="49">
        <v>57</v>
      </c>
      <c r="V190" s="49">
        <v>58</v>
      </c>
      <c r="W190" s="49">
        <v>59</v>
      </c>
      <c r="X190" s="7"/>
      <c r="Y190" s="7"/>
      <c r="Z190" s="7"/>
      <c r="AA190" s="7"/>
      <c r="AB190" s="7"/>
      <c r="AC190" s="7"/>
      <c r="AD190" s="7"/>
      <c r="AE190" s="7"/>
      <c r="AF190" s="7"/>
      <c r="AM190" s="59"/>
      <c r="AN190" s="46"/>
      <c r="AO190" s="59"/>
      <c r="AP190" s="75" cm="1">
        <f t="array" ref="AP190">SUM(VLOOKUP(I191:W191,GRADEPOINT!$A$2:$B$7,2,0)*$I$4:$W$4)</f>
        <v>63</v>
      </c>
      <c r="AQ190" s="73">
        <f t="shared" ref="AQ190" si="364">ROUND(AP190/AM191,2)</f>
        <v>2.74</v>
      </c>
      <c r="AR190" s="72"/>
    </row>
    <row r="191" spans="1:44" ht="15" thickBot="1" x14ac:dyDescent="0.35">
      <c r="A191" s="69"/>
      <c r="B191" s="71"/>
      <c r="C191" s="86"/>
      <c r="D191" s="87"/>
      <c r="E191" s="87"/>
      <c r="F191" s="87"/>
      <c r="G191" s="87"/>
      <c r="H191" s="88"/>
      <c r="I191" s="51" t="str" cm="1">
        <f t="array" ref="I191">_xlfn.IFS(I190&gt;= 70,"A",I190&gt;=60,"B",I190&gt;=50,"C",I190&gt;=45,"D",I190&gt;=40,"E",I190&lt;40,"F")</f>
        <v>C</v>
      </c>
      <c r="J191" s="51" t="str" cm="1">
        <f t="array" ref="J191">_xlfn.IFS(J190&gt;= 70,"A",J190&gt;=60,"B",J190&gt;=50,"C",J190&gt;=45,"D",J190&gt;=40,"E",J190&lt;40,"F")</f>
        <v>D</v>
      </c>
      <c r="K191" s="51" t="str" cm="1">
        <f t="array" ref="K191">_xlfn.IFS(K190&gt;= 70,"A",K190&gt;=60,"B",K190&gt;=50,"C",K190&gt;=45,"D",K190&gt;=40,"E",K190&lt;40,"F")</f>
        <v>D</v>
      </c>
      <c r="L191" s="50" t="str" cm="1">
        <f t="array" ref="L191">_xlfn.IFS(L190&gt;= 70,"A",L190&gt;=60,"B",L190&gt;=50,"C",L190&gt;=45,"D",L190&gt;=40,"E",L190&lt;40,"F")</f>
        <v>D</v>
      </c>
      <c r="M191" s="51" t="str" cm="1">
        <f t="array" ref="M191">_xlfn.IFS(M190&gt;= 70,"A",M190&gt;=60,"B",M190&gt;=50,"C",M190&gt;=45,"D",M190&gt;=40,"E",M190&lt;40,"F")</f>
        <v>D</v>
      </c>
      <c r="N191" s="51" t="str" cm="1">
        <f t="array" ref="N191">_xlfn.IFS(N190&gt;= 70,"A",N190&gt;=60,"B",N190&gt;=50,"C",N190&gt;=45,"D",N190&gt;=40,"E",N190&lt;40,"F")</f>
        <v>C</v>
      </c>
      <c r="O191" s="51" t="str" cm="1">
        <f t="array" ref="O191">_xlfn.IFS(O190&gt;= 70,"A",O190&gt;=60,"B",O190&gt;=50,"C",O190&gt;=45,"D",O190&gt;=40,"E",O190&lt;40,"F")</f>
        <v>C</v>
      </c>
      <c r="P191" s="51" t="str" cm="1">
        <f t="array" ref="P191">_xlfn.IFS(P190&gt;= 70,"A",P190&gt;=60,"B",P190&gt;=50,"C",P190&gt;=45,"D",P190&gt;=40,"E",P190&lt;40,"F")</f>
        <v>C</v>
      </c>
      <c r="Q191" s="51" t="str" cm="1">
        <f t="array" ref="Q191">_xlfn.IFS(Q190&gt;= 70,"A",Q190&gt;=60,"B",Q190&gt;=50,"C",Q190&gt;=45,"D",Q190&gt;=40,"E",Q190&lt;40,"F")</f>
        <v>C</v>
      </c>
      <c r="R191" s="51" t="str" cm="1">
        <f t="array" ref="R191">_xlfn.IFS(R190&gt;= 70,"A",R190&gt;=60,"B",R190&gt;=50,"C",R190&gt;=45,"D",R190&gt;=40,"E",R190&lt;40,"F")</f>
        <v>C</v>
      </c>
      <c r="S191" s="51" t="str" cm="1">
        <f t="array" ref="S191">_xlfn.IFS(S190&gt;= 70,"A",S190&gt;=60,"B",S190&gt;=50,"C",S190&gt;=45,"D",S190&gt;=40,"E",S190&lt;40,"F")</f>
        <v>C</v>
      </c>
      <c r="T191" s="51" t="str" cm="1">
        <f t="array" ref="T191">_xlfn.IFS(T190&gt;= 70,"A",T190&gt;=60,"B",T190&gt;=50,"C",T190&gt;=45,"D",T190&gt;=40,"E",T190&lt;40,"F")</f>
        <v>C</v>
      </c>
      <c r="U191" s="51" t="str" cm="1">
        <f t="array" ref="U191">_xlfn.IFS(U190&gt;= 70,"A",U190&gt;=60,"B",U190&gt;=50,"C",U190&gt;=45,"D",U190&gt;=40,"E",U190&lt;40,"F")</f>
        <v>C</v>
      </c>
      <c r="V191" s="51" t="str" cm="1">
        <f t="array" ref="V191">_xlfn.IFS(V190&gt;= 70,"A",V190&gt;=60,"B",V190&gt;=50,"C",V190&gt;=45,"D",V190&gt;=40,"E",V190&lt;40,"F")</f>
        <v>C</v>
      </c>
      <c r="W191" s="50" t="str" cm="1">
        <f t="array" ref="W191">_xlfn.IFS(W190&gt;= 70,"A",W190&gt;=60,"B",W190&gt;=50,"C",W190&gt;=45,"D",W190&gt;=40,"E",W190&lt;40,"F")</f>
        <v>C</v>
      </c>
      <c r="X191" s="7"/>
      <c r="Y191" s="7"/>
      <c r="Z191" s="7"/>
      <c r="AA191" s="7"/>
      <c r="AB191" s="7"/>
      <c r="AC191" s="7"/>
      <c r="AD191" s="7"/>
      <c r="AE191" s="7"/>
      <c r="AF191" s="7"/>
      <c r="AM191" s="56">
        <f t="shared" ref="AM191" si="365">SUMIFS($I$4:$W$4,I190:W190,"&gt;0")</f>
        <v>23</v>
      </c>
      <c r="AN191" s="47">
        <f t="shared" ref="AN191" si="366">(SUMIFS($I$4:$W$4,I190:W190,"&gt;0")-SUMIFS($I$4:$W$4,I191:W191,"F"))</f>
        <v>23</v>
      </c>
      <c r="AO191" s="56">
        <f t="shared" ref="AO191" si="367">SUMIFS($I$4:$W$4,I191:W191,"F")</f>
        <v>0</v>
      </c>
      <c r="AP191" s="76"/>
      <c r="AQ191" s="74"/>
      <c r="AR191" s="71"/>
    </row>
    <row r="192" spans="1:44" ht="15" thickTop="1" x14ac:dyDescent="0.3">
      <c r="A192" s="68">
        <v>94</v>
      </c>
      <c r="B192" s="70"/>
      <c r="C192" s="75"/>
      <c r="D192" s="84"/>
      <c r="E192" s="84"/>
      <c r="F192" s="84"/>
      <c r="G192" s="84"/>
      <c r="H192" s="85"/>
      <c r="I192" s="49">
        <v>56</v>
      </c>
      <c r="J192" s="49">
        <v>46</v>
      </c>
      <c r="K192" s="49">
        <v>47</v>
      </c>
      <c r="L192" s="49">
        <v>48</v>
      </c>
      <c r="M192" s="49">
        <v>49</v>
      </c>
      <c r="N192" s="49">
        <v>50</v>
      </c>
      <c r="O192" s="49">
        <v>51</v>
      </c>
      <c r="P192" s="49">
        <v>52</v>
      </c>
      <c r="Q192" s="49">
        <v>53</v>
      </c>
      <c r="R192" s="49">
        <v>54</v>
      </c>
      <c r="S192" s="49">
        <v>55</v>
      </c>
      <c r="T192" s="49">
        <v>56</v>
      </c>
      <c r="U192" s="49">
        <v>57</v>
      </c>
      <c r="V192" s="49">
        <v>58</v>
      </c>
      <c r="W192" s="49">
        <v>59</v>
      </c>
      <c r="X192" s="7"/>
      <c r="Y192" s="7"/>
      <c r="Z192" s="7"/>
      <c r="AA192" s="7"/>
      <c r="AB192" s="7"/>
      <c r="AC192" s="7"/>
      <c r="AD192" s="7"/>
      <c r="AE192" s="7"/>
      <c r="AF192" s="7"/>
      <c r="AM192" s="59"/>
      <c r="AN192" s="46"/>
      <c r="AO192" s="59"/>
      <c r="AP192" s="75" cm="1">
        <f t="array" ref="AP192">SUM(VLOOKUP(I193:W193,GRADEPOINT!$A$2:$B$7,2,0)*$I$4:$W$4)</f>
        <v>63</v>
      </c>
      <c r="AQ192" s="73">
        <f t="shared" ref="AQ192" si="368">ROUND(AP192/AM193,2)</f>
        <v>2.74</v>
      </c>
      <c r="AR192" s="72"/>
    </row>
    <row r="193" spans="1:44" ht="15" thickBot="1" x14ac:dyDescent="0.35">
      <c r="A193" s="69"/>
      <c r="B193" s="71"/>
      <c r="C193" s="86"/>
      <c r="D193" s="87"/>
      <c r="E193" s="87"/>
      <c r="F193" s="87"/>
      <c r="G193" s="87"/>
      <c r="H193" s="88"/>
      <c r="I193" s="51" t="str" cm="1">
        <f t="array" ref="I193">_xlfn.IFS(I192&gt;= 70,"A",I192&gt;=60,"B",I192&gt;=50,"C",I192&gt;=45,"D",I192&gt;=40,"E",I192&lt;40,"F")</f>
        <v>C</v>
      </c>
      <c r="J193" s="51" t="str" cm="1">
        <f t="array" ref="J193">_xlfn.IFS(J192&gt;= 70,"A",J192&gt;=60,"B",J192&gt;=50,"C",J192&gt;=45,"D",J192&gt;=40,"E",J192&lt;40,"F")</f>
        <v>D</v>
      </c>
      <c r="K193" s="51" t="str" cm="1">
        <f t="array" ref="K193">_xlfn.IFS(K192&gt;= 70,"A",K192&gt;=60,"B",K192&gt;=50,"C",K192&gt;=45,"D",K192&gt;=40,"E",K192&lt;40,"F")</f>
        <v>D</v>
      </c>
      <c r="L193" s="50" t="str" cm="1">
        <f t="array" ref="L193">_xlfn.IFS(L192&gt;= 70,"A",L192&gt;=60,"B",L192&gt;=50,"C",L192&gt;=45,"D",L192&gt;=40,"E",L192&lt;40,"F")</f>
        <v>D</v>
      </c>
      <c r="M193" s="51" t="str" cm="1">
        <f t="array" ref="M193">_xlfn.IFS(M192&gt;= 70,"A",M192&gt;=60,"B",M192&gt;=50,"C",M192&gt;=45,"D",M192&gt;=40,"E",M192&lt;40,"F")</f>
        <v>D</v>
      </c>
      <c r="N193" s="51" t="str" cm="1">
        <f t="array" ref="N193">_xlfn.IFS(N192&gt;= 70,"A",N192&gt;=60,"B",N192&gt;=50,"C",N192&gt;=45,"D",N192&gt;=40,"E",N192&lt;40,"F")</f>
        <v>C</v>
      </c>
      <c r="O193" s="51" t="str" cm="1">
        <f t="array" ref="O193">_xlfn.IFS(O192&gt;= 70,"A",O192&gt;=60,"B",O192&gt;=50,"C",O192&gt;=45,"D",O192&gt;=40,"E",O192&lt;40,"F")</f>
        <v>C</v>
      </c>
      <c r="P193" s="51" t="str" cm="1">
        <f t="array" ref="P193">_xlfn.IFS(P192&gt;= 70,"A",P192&gt;=60,"B",P192&gt;=50,"C",P192&gt;=45,"D",P192&gt;=40,"E",P192&lt;40,"F")</f>
        <v>C</v>
      </c>
      <c r="Q193" s="51" t="str" cm="1">
        <f t="array" ref="Q193">_xlfn.IFS(Q192&gt;= 70,"A",Q192&gt;=60,"B",Q192&gt;=50,"C",Q192&gt;=45,"D",Q192&gt;=40,"E",Q192&lt;40,"F")</f>
        <v>C</v>
      </c>
      <c r="R193" s="51" t="str" cm="1">
        <f t="array" ref="R193">_xlfn.IFS(R192&gt;= 70,"A",R192&gt;=60,"B",R192&gt;=50,"C",R192&gt;=45,"D",R192&gt;=40,"E",R192&lt;40,"F")</f>
        <v>C</v>
      </c>
      <c r="S193" s="51" t="str" cm="1">
        <f t="array" ref="S193">_xlfn.IFS(S192&gt;= 70,"A",S192&gt;=60,"B",S192&gt;=50,"C",S192&gt;=45,"D",S192&gt;=40,"E",S192&lt;40,"F")</f>
        <v>C</v>
      </c>
      <c r="T193" s="51" t="str" cm="1">
        <f t="array" ref="T193">_xlfn.IFS(T192&gt;= 70,"A",T192&gt;=60,"B",T192&gt;=50,"C",T192&gt;=45,"D",T192&gt;=40,"E",T192&lt;40,"F")</f>
        <v>C</v>
      </c>
      <c r="U193" s="51" t="str" cm="1">
        <f t="array" ref="U193">_xlfn.IFS(U192&gt;= 70,"A",U192&gt;=60,"B",U192&gt;=50,"C",U192&gt;=45,"D",U192&gt;=40,"E",U192&lt;40,"F")</f>
        <v>C</v>
      </c>
      <c r="V193" s="51" t="str" cm="1">
        <f t="array" ref="V193">_xlfn.IFS(V192&gt;= 70,"A",V192&gt;=60,"B",V192&gt;=50,"C",V192&gt;=45,"D",V192&gt;=40,"E",V192&lt;40,"F")</f>
        <v>C</v>
      </c>
      <c r="W193" s="50" t="str" cm="1">
        <f t="array" ref="W193">_xlfn.IFS(W192&gt;= 70,"A",W192&gt;=60,"B",W192&gt;=50,"C",W192&gt;=45,"D",W192&gt;=40,"E",W192&lt;40,"F")</f>
        <v>C</v>
      </c>
      <c r="X193" s="7"/>
      <c r="Y193" s="7"/>
      <c r="Z193" s="7"/>
      <c r="AA193" s="7"/>
      <c r="AB193" s="7"/>
      <c r="AC193" s="7"/>
      <c r="AD193" s="7"/>
      <c r="AE193" s="7"/>
      <c r="AF193" s="7"/>
      <c r="AM193" s="56">
        <f t="shared" ref="AM193" si="369">SUMIFS($I$4:$W$4,I192:W192,"&gt;0")</f>
        <v>23</v>
      </c>
      <c r="AN193" s="47">
        <f t="shared" ref="AN193" si="370">(SUMIFS($I$4:$W$4,I192:W192,"&gt;0")-SUMIFS($I$4:$W$4,I193:W193,"F"))</f>
        <v>23</v>
      </c>
      <c r="AO193" s="56">
        <f t="shared" ref="AO193" si="371">SUMIFS($I$4:$W$4,I193:W193,"F")</f>
        <v>0</v>
      </c>
      <c r="AP193" s="76"/>
      <c r="AQ193" s="74"/>
      <c r="AR193" s="71"/>
    </row>
    <row r="194" spans="1:44" ht="15" thickTop="1" x14ac:dyDescent="0.3">
      <c r="A194" s="68">
        <v>95</v>
      </c>
      <c r="B194" s="70"/>
      <c r="C194" s="75"/>
      <c r="D194" s="84"/>
      <c r="E194" s="84"/>
      <c r="F194" s="84"/>
      <c r="G194" s="84"/>
      <c r="H194" s="85"/>
      <c r="I194" s="49">
        <v>56</v>
      </c>
      <c r="J194" s="49">
        <v>46</v>
      </c>
      <c r="K194" s="49">
        <v>47</v>
      </c>
      <c r="L194" s="49">
        <v>48</v>
      </c>
      <c r="M194" s="49">
        <v>49</v>
      </c>
      <c r="N194" s="49">
        <v>50</v>
      </c>
      <c r="O194" s="49">
        <v>51</v>
      </c>
      <c r="P194" s="49">
        <v>52</v>
      </c>
      <c r="Q194" s="49">
        <v>53</v>
      </c>
      <c r="R194" s="49">
        <v>54</v>
      </c>
      <c r="S194" s="49">
        <v>55</v>
      </c>
      <c r="T194" s="49">
        <v>56</v>
      </c>
      <c r="U194" s="49">
        <v>57</v>
      </c>
      <c r="V194" s="49">
        <v>58</v>
      </c>
      <c r="W194" s="49">
        <v>59</v>
      </c>
      <c r="X194" s="7"/>
      <c r="Y194" s="7"/>
      <c r="Z194" s="7"/>
      <c r="AA194" s="7"/>
      <c r="AB194" s="7"/>
      <c r="AC194" s="7"/>
      <c r="AD194" s="7"/>
      <c r="AE194" s="7"/>
      <c r="AF194" s="7"/>
      <c r="AM194" s="59"/>
      <c r="AN194" s="46"/>
      <c r="AO194" s="59"/>
      <c r="AP194" s="75" cm="1">
        <f t="array" ref="AP194">SUM(VLOOKUP(I195:W195,GRADEPOINT!$A$2:$B$7,2,0)*$I$4:$W$4)</f>
        <v>63</v>
      </c>
      <c r="AQ194" s="73">
        <f t="shared" ref="AQ194" si="372">ROUND(AP194/AM195,2)</f>
        <v>2.74</v>
      </c>
      <c r="AR194" s="72"/>
    </row>
    <row r="195" spans="1:44" ht="15" thickBot="1" x14ac:dyDescent="0.35">
      <c r="A195" s="69"/>
      <c r="B195" s="71"/>
      <c r="C195" s="86"/>
      <c r="D195" s="87"/>
      <c r="E195" s="87"/>
      <c r="F195" s="87"/>
      <c r="G195" s="87"/>
      <c r="H195" s="88"/>
      <c r="I195" s="51" t="str" cm="1">
        <f t="array" ref="I195">_xlfn.IFS(I194&gt;= 70,"A",I194&gt;=60,"B",I194&gt;=50,"C",I194&gt;=45,"D",I194&gt;=40,"E",I194&lt;40,"F")</f>
        <v>C</v>
      </c>
      <c r="J195" s="51" t="str" cm="1">
        <f t="array" ref="J195">_xlfn.IFS(J194&gt;= 70,"A",J194&gt;=60,"B",J194&gt;=50,"C",J194&gt;=45,"D",J194&gt;=40,"E",J194&lt;40,"F")</f>
        <v>D</v>
      </c>
      <c r="K195" s="51" t="str" cm="1">
        <f t="array" ref="K195">_xlfn.IFS(K194&gt;= 70,"A",K194&gt;=60,"B",K194&gt;=50,"C",K194&gt;=45,"D",K194&gt;=40,"E",K194&lt;40,"F")</f>
        <v>D</v>
      </c>
      <c r="L195" s="50" t="str" cm="1">
        <f t="array" ref="L195">_xlfn.IFS(L194&gt;= 70,"A",L194&gt;=60,"B",L194&gt;=50,"C",L194&gt;=45,"D",L194&gt;=40,"E",L194&lt;40,"F")</f>
        <v>D</v>
      </c>
      <c r="M195" s="51" t="str" cm="1">
        <f t="array" ref="M195">_xlfn.IFS(M194&gt;= 70,"A",M194&gt;=60,"B",M194&gt;=50,"C",M194&gt;=45,"D",M194&gt;=40,"E",M194&lt;40,"F")</f>
        <v>D</v>
      </c>
      <c r="N195" s="51" t="str" cm="1">
        <f t="array" ref="N195">_xlfn.IFS(N194&gt;= 70,"A",N194&gt;=60,"B",N194&gt;=50,"C",N194&gt;=45,"D",N194&gt;=40,"E",N194&lt;40,"F")</f>
        <v>C</v>
      </c>
      <c r="O195" s="51" t="str" cm="1">
        <f t="array" ref="O195">_xlfn.IFS(O194&gt;= 70,"A",O194&gt;=60,"B",O194&gt;=50,"C",O194&gt;=45,"D",O194&gt;=40,"E",O194&lt;40,"F")</f>
        <v>C</v>
      </c>
      <c r="P195" s="51" t="str" cm="1">
        <f t="array" ref="P195">_xlfn.IFS(P194&gt;= 70,"A",P194&gt;=60,"B",P194&gt;=50,"C",P194&gt;=45,"D",P194&gt;=40,"E",P194&lt;40,"F")</f>
        <v>C</v>
      </c>
      <c r="Q195" s="51" t="str" cm="1">
        <f t="array" ref="Q195">_xlfn.IFS(Q194&gt;= 70,"A",Q194&gt;=60,"B",Q194&gt;=50,"C",Q194&gt;=45,"D",Q194&gt;=40,"E",Q194&lt;40,"F")</f>
        <v>C</v>
      </c>
      <c r="R195" s="51" t="str" cm="1">
        <f t="array" ref="R195">_xlfn.IFS(R194&gt;= 70,"A",R194&gt;=60,"B",R194&gt;=50,"C",R194&gt;=45,"D",R194&gt;=40,"E",R194&lt;40,"F")</f>
        <v>C</v>
      </c>
      <c r="S195" s="51" t="str" cm="1">
        <f t="array" ref="S195">_xlfn.IFS(S194&gt;= 70,"A",S194&gt;=60,"B",S194&gt;=50,"C",S194&gt;=45,"D",S194&gt;=40,"E",S194&lt;40,"F")</f>
        <v>C</v>
      </c>
      <c r="T195" s="51" t="str" cm="1">
        <f t="array" ref="T195">_xlfn.IFS(T194&gt;= 70,"A",T194&gt;=60,"B",T194&gt;=50,"C",T194&gt;=45,"D",T194&gt;=40,"E",T194&lt;40,"F")</f>
        <v>C</v>
      </c>
      <c r="U195" s="51" t="str" cm="1">
        <f t="array" ref="U195">_xlfn.IFS(U194&gt;= 70,"A",U194&gt;=60,"B",U194&gt;=50,"C",U194&gt;=45,"D",U194&gt;=40,"E",U194&lt;40,"F")</f>
        <v>C</v>
      </c>
      <c r="V195" s="51" t="str" cm="1">
        <f t="array" ref="V195">_xlfn.IFS(V194&gt;= 70,"A",V194&gt;=60,"B",V194&gt;=50,"C",V194&gt;=45,"D",V194&gt;=40,"E",V194&lt;40,"F")</f>
        <v>C</v>
      </c>
      <c r="W195" s="50" t="str" cm="1">
        <f t="array" ref="W195">_xlfn.IFS(W194&gt;= 70,"A",W194&gt;=60,"B",W194&gt;=50,"C",W194&gt;=45,"D",W194&gt;=40,"E",W194&lt;40,"F")</f>
        <v>C</v>
      </c>
      <c r="X195" s="7"/>
      <c r="Y195" s="7"/>
      <c r="Z195" s="7"/>
      <c r="AA195" s="7"/>
      <c r="AB195" s="7"/>
      <c r="AC195" s="7"/>
      <c r="AD195" s="7"/>
      <c r="AE195" s="7"/>
      <c r="AF195" s="7"/>
      <c r="AM195" s="56">
        <f t="shared" ref="AM195" si="373">SUMIFS($I$4:$W$4,I194:W194,"&gt;0")</f>
        <v>23</v>
      </c>
      <c r="AN195" s="47">
        <f t="shared" ref="AN195" si="374">(SUMIFS($I$4:$W$4,I194:W194,"&gt;0")-SUMIFS($I$4:$W$4,I195:W195,"F"))</f>
        <v>23</v>
      </c>
      <c r="AO195" s="56">
        <f t="shared" ref="AO195" si="375">SUMIFS($I$4:$W$4,I195:W195,"F")</f>
        <v>0</v>
      </c>
      <c r="AP195" s="76"/>
      <c r="AQ195" s="74"/>
      <c r="AR195" s="71"/>
    </row>
    <row r="196" spans="1:44" ht="15" thickTop="1" x14ac:dyDescent="0.3">
      <c r="A196" s="68">
        <v>96</v>
      </c>
      <c r="B196" s="70"/>
      <c r="C196" s="75"/>
      <c r="D196" s="84"/>
      <c r="E196" s="84"/>
      <c r="F196" s="84"/>
      <c r="G196" s="84"/>
      <c r="H196" s="85"/>
      <c r="I196" s="49">
        <v>56</v>
      </c>
      <c r="J196" s="49">
        <v>46</v>
      </c>
      <c r="K196" s="49">
        <v>47</v>
      </c>
      <c r="L196" s="49">
        <v>48</v>
      </c>
      <c r="M196" s="49">
        <v>49</v>
      </c>
      <c r="N196" s="49">
        <v>50</v>
      </c>
      <c r="O196" s="49">
        <v>51</v>
      </c>
      <c r="P196" s="49">
        <v>52</v>
      </c>
      <c r="Q196" s="49">
        <v>53</v>
      </c>
      <c r="R196" s="49">
        <v>54</v>
      </c>
      <c r="S196" s="49">
        <v>55</v>
      </c>
      <c r="T196" s="49">
        <v>56</v>
      </c>
      <c r="U196" s="49">
        <v>57</v>
      </c>
      <c r="V196" s="49">
        <v>58</v>
      </c>
      <c r="W196" s="49">
        <v>59</v>
      </c>
      <c r="X196" s="7"/>
      <c r="Y196" s="7"/>
      <c r="Z196" s="7"/>
      <c r="AA196" s="7"/>
      <c r="AB196" s="7"/>
      <c r="AC196" s="7"/>
      <c r="AD196" s="7"/>
      <c r="AE196" s="7"/>
      <c r="AF196" s="7"/>
      <c r="AM196" s="59"/>
      <c r="AN196" s="46"/>
      <c r="AO196" s="59"/>
      <c r="AP196" s="75" cm="1">
        <f t="array" ref="AP196">SUM(VLOOKUP(I197:W197,GRADEPOINT!$A$2:$B$7,2,0)*$I$4:$W$4)</f>
        <v>63</v>
      </c>
      <c r="AQ196" s="73">
        <f t="shared" ref="AQ196" si="376">ROUND(AP196/AM197,2)</f>
        <v>2.74</v>
      </c>
      <c r="AR196" s="72"/>
    </row>
    <row r="197" spans="1:44" ht="15" thickBot="1" x14ac:dyDescent="0.35">
      <c r="A197" s="69"/>
      <c r="B197" s="71"/>
      <c r="C197" s="86"/>
      <c r="D197" s="87"/>
      <c r="E197" s="87"/>
      <c r="F197" s="87"/>
      <c r="G197" s="87"/>
      <c r="H197" s="88"/>
      <c r="I197" s="51" t="str" cm="1">
        <f t="array" ref="I197">_xlfn.IFS(I196&gt;= 70,"A",I196&gt;=60,"B",I196&gt;=50,"C",I196&gt;=45,"D",I196&gt;=40,"E",I196&lt;40,"F")</f>
        <v>C</v>
      </c>
      <c r="J197" s="51" t="str" cm="1">
        <f t="array" ref="J197">_xlfn.IFS(J196&gt;= 70,"A",J196&gt;=60,"B",J196&gt;=50,"C",J196&gt;=45,"D",J196&gt;=40,"E",J196&lt;40,"F")</f>
        <v>D</v>
      </c>
      <c r="K197" s="51" t="str" cm="1">
        <f t="array" ref="K197">_xlfn.IFS(K196&gt;= 70,"A",K196&gt;=60,"B",K196&gt;=50,"C",K196&gt;=45,"D",K196&gt;=40,"E",K196&lt;40,"F")</f>
        <v>D</v>
      </c>
      <c r="L197" s="50" t="str" cm="1">
        <f t="array" ref="L197">_xlfn.IFS(L196&gt;= 70,"A",L196&gt;=60,"B",L196&gt;=50,"C",L196&gt;=45,"D",L196&gt;=40,"E",L196&lt;40,"F")</f>
        <v>D</v>
      </c>
      <c r="M197" s="51" t="str" cm="1">
        <f t="array" ref="M197">_xlfn.IFS(M196&gt;= 70,"A",M196&gt;=60,"B",M196&gt;=50,"C",M196&gt;=45,"D",M196&gt;=40,"E",M196&lt;40,"F")</f>
        <v>D</v>
      </c>
      <c r="N197" s="51" t="str" cm="1">
        <f t="array" ref="N197">_xlfn.IFS(N196&gt;= 70,"A",N196&gt;=60,"B",N196&gt;=50,"C",N196&gt;=45,"D",N196&gt;=40,"E",N196&lt;40,"F")</f>
        <v>C</v>
      </c>
      <c r="O197" s="51" t="str" cm="1">
        <f t="array" ref="O197">_xlfn.IFS(O196&gt;= 70,"A",O196&gt;=60,"B",O196&gt;=50,"C",O196&gt;=45,"D",O196&gt;=40,"E",O196&lt;40,"F")</f>
        <v>C</v>
      </c>
      <c r="P197" s="51" t="str" cm="1">
        <f t="array" ref="P197">_xlfn.IFS(P196&gt;= 70,"A",P196&gt;=60,"B",P196&gt;=50,"C",P196&gt;=45,"D",P196&gt;=40,"E",P196&lt;40,"F")</f>
        <v>C</v>
      </c>
      <c r="Q197" s="51" t="str" cm="1">
        <f t="array" ref="Q197">_xlfn.IFS(Q196&gt;= 70,"A",Q196&gt;=60,"B",Q196&gt;=50,"C",Q196&gt;=45,"D",Q196&gt;=40,"E",Q196&lt;40,"F")</f>
        <v>C</v>
      </c>
      <c r="R197" s="51" t="str" cm="1">
        <f t="array" ref="R197">_xlfn.IFS(R196&gt;= 70,"A",R196&gt;=60,"B",R196&gt;=50,"C",R196&gt;=45,"D",R196&gt;=40,"E",R196&lt;40,"F")</f>
        <v>C</v>
      </c>
      <c r="S197" s="51" t="str" cm="1">
        <f t="array" ref="S197">_xlfn.IFS(S196&gt;= 70,"A",S196&gt;=60,"B",S196&gt;=50,"C",S196&gt;=45,"D",S196&gt;=40,"E",S196&lt;40,"F")</f>
        <v>C</v>
      </c>
      <c r="T197" s="51" t="str" cm="1">
        <f t="array" ref="T197">_xlfn.IFS(T196&gt;= 70,"A",T196&gt;=60,"B",T196&gt;=50,"C",T196&gt;=45,"D",T196&gt;=40,"E",T196&lt;40,"F")</f>
        <v>C</v>
      </c>
      <c r="U197" s="51" t="str" cm="1">
        <f t="array" ref="U197">_xlfn.IFS(U196&gt;= 70,"A",U196&gt;=60,"B",U196&gt;=50,"C",U196&gt;=45,"D",U196&gt;=40,"E",U196&lt;40,"F")</f>
        <v>C</v>
      </c>
      <c r="V197" s="51" t="str" cm="1">
        <f t="array" ref="V197">_xlfn.IFS(V196&gt;= 70,"A",V196&gt;=60,"B",V196&gt;=50,"C",V196&gt;=45,"D",V196&gt;=40,"E",V196&lt;40,"F")</f>
        <v>C</v>
      </c>
      <c r="W197" s="50" t="str" cm="1">
        <f t="array" ref="W197">_xlfn.IFS(W196&gt;= 70,"A",W196&gt;=60,"B",W196&gt;=50,"C",W196&gt;=45,"D",W196&gt;=40,"E",W196&lt;40,"F")</f>
        <v>C</v>
      </c>
      <c r="X197" s="7"/>
      <c r="Y197" s="7"/>
      <c r="Z197" s="7"/>
      <c r="AA197" s="7"/>
      <c r="AB197" s="7"/>
      <c r="AC197" s="7"/>
      <c r="AD197" s="7"/>
      <c r="AE197" s="7"/>
      <c r="AF197" s="7"/>
      <c r="AM197" s="56">
        <f t="shared" ref="AM197" si="377">SUMIFS($I$4:$W$4,I196:W196,"&gt;0")</f>
        <v>23</v>
      </c>
      <c r="AN197" s="47">
        <f t="shared" ref="AN197" si="378">(SUMIFS($I$4:$W$4,I196:W196,"&gt;0")-SUMIFS($I$4:$W$4,I197:W197,"F"))</f>
        <v>23</v>
      </c>
      <c r="AO197" s="56">
        <f t="shared" ref="AO197" si="379">SUMIFS($I$4:$W$4,I197:W197,"F")</f>
        <v>0</v>
      </c>
      <c r="AP197" s="76"/>
      <c r="AQ197" s="74"/>
      <c r="AR197" s="71"/>
    </row>
    <row r="198" spans="1:44" ht="15" thickTop="1" x14ac:dyDescent="0.3">
      <c r="A198" s="68">
        <v>97</v>
      </c>
      <c r="B198" s="70"/>
      <c r="C198" s="75"/>
      <c r="D198" s="84"/>
      <c r="E198" s="84"/>
      <c r="F198" s="84"/>
      <c r="G198" s="84"/>
      <c r="H198" s="85"/>
      <c r="I198" s="49">
        <v>56</v>
      </c>
      <c r="J198" s="49">
        <v>46</v>
      </c>
      <c r="K198" s="49">
        <v>47</v>
      </c>
      <c r="L198" s="49">
        <v>48</v>
      </c>
      <c r="M198" s="49">
        <v>49</v>
      </c>
      <c r="N198" s="49">
        <v>50</v>
      </c>
      <c r="O198" s="49">
        <v>51</v>
      </c>
      <c r="P198" s="49">
        <v>52</v>
      </c>
      <c r="Q198" s="49">
        <v>53</v>
      </c>
      <c r="R198" s="49">
        <v>54</v>
      </c>
      <c r="S198" s="49">
        <v>55</v>
      </c>
      <c r="T198" s="49">
        <v>56</v>
      </c>
      <c r="U198" s="49">
        <v>57</v>
      </c>
      <c r="V198" s="49">
        <v>58</v>
      </c>
      <c r="W198" s="49">
        <v>59</v>
      </c>
      <c r="X198" s="7"/>
      <c r="Y198" s="7"/>
      <c r="Z198" s="7"/>
      <c r="AA198" s="7"/>
      <c r="AB198" s="7"/>
      <c r="AC198" s="7"/>
      <c r="AD198" s="7"/>
      <c r="AE198" s="7"/>
      <c r="AF198" s="7"/>
      <c r="AM198" s="59"/>
      <c r="AN198" s="46"/>
      <c r="AO198" s="59"/>
      <c r="AP198" s="75" cm="1">
        <f t="array" ref="AP198">SUM(VLOOKUP(I199:W199,GRADEPOINT!$A$2:$B$7,2,0)*$I$4:$W$4)</f>
        <v>63</v>
      </c>
      <c r="AQ198" s="73">
        <f t="shared" ref="AQ198" si="380">ROUND(AP198/AM199,2)</f>
        <v>2.74</v>
      </c>
      <c r="AR198" s="72"/>
    </row>
    <row r="199" spans="1:44" ht="15" thickBot="1" x14ac:dyDescent="0.35">
      <c r="A199" s="69"/>
      <c r="B199" s="71"/>
      <c r="C199" s="86"/>
      <c r="D199" s="87"/>
      <c r="E199" s="87"/>
      <c r="F199" s="87"/>
      <c r="G199" s="87"/>
      <c r="H199" s="88"/>
      <c r="I199" s="51" t="str" cm="1">
        <f t="array" ref="I199">_xlfn.IFS(I198&gt;= 70,"A",I198&gt;=60,"B",I198&gt;=50,"C",I198&gt;=45,"D",I198&gt;=40,"E",I198&lt;40,"F")</f>
        <v>C</v>
      </c>
      <c r="J199" s="51" t="str" cm="1">
        <f t="array" ref="J199">_xlfn.IFS(J198&gt;= 70,"A",J198&gt;=60,"B",J198&gt;=50,"C",J198&gt;=45,"D",J198&gt;=40,"E",J198&lt;40,"F")</f>
        <v>D</v>
      </c>
      <c r="K199" s="51" t="str" cm="1">
        <f t="array" ref="K199">_xlfn.IFS(K198&gt;= 70,"A",K198&gt;=60,"B",K198&gt;=50,"C",K198&gt;=45,"D",K198&gt;=40,"E",K198&lt;40,"F")</f>
        <v>D</v>
      </c>
      <c r="L199" s="50" t="str" cm="1">
        <f t="array" ref="L199">_xlfn.IFS(L198&gt;= 70,"A",L198&gt;=60,"B",L198&gt;=50,"C",L198&gt;=45,"D",L198&gt;=40,"E",L198&lt;40,"F")</f>
        <v>D</v>
      </c>
      <c r="M199" s="51" t="str" cm="1">
        <f t="array" ref="M199">_xlfn.IFS(M198&gt;= 70,"A",M198&gt;=60,"B",M198&gt;=50,"C",M198&gt;=45,"D",M198&gt;=40,"E",M198&lt;40,"F")</f>
        <v>D</v>
      </c>
      <c r="N199" s="51" t="str" cm="1">
        <f t="array" ref="N199">_xlfn.IFS(N198&gt;= 70,"A",N198&gt;=60,"B",N198&gt;=50,"C",N198&gt;=45,"D",N198&gt;=40,"E",N198&lt;40,"F")</f>
        <v>C</v>
      </c>
      <c r="O199" s="51" t="str" cm="1">
        <f t="array" ref="O199">_xlfn.IFS(O198&gt;= 70,"A",O198&gt;=60,"B",O198&gt;=50,"C",O198&gt;=45,"D",O198&gt;=40,"E",O198&lt;40,"F")</f>
        <v>C</v>
      </c>
      <c r="P199" s="51" t="str" cm="1">
        <f t="array" ref="P199">_xlfn.IFS(P198&gt;= 70,"A",P198&gt;=60,"B",P198&gt;=50,"C",P198&gt;=45,"D",P198&gt;=40,"E",P198&lt;40,"F")</f>
        <v>C</v>
      </c>
      <c r="Q199" s="51" t="str" cm="1">
        <f t="array" ref="Q199">_xlfn.IFS(Q198&gt;= 70,"A",Q198&gt;=60,"B",Q198&gt;=50,"C",Q198&gt;=45,"D",Q198&gt;=40,"E",Q198&lt;40,"F")</f>
        <v>C</v>
      </c>
      <c r="R199" s="51" t="str" cm="1">
        <f t="array" ref="R199">_xlfn.IFS(R198&gt;= 70,"A",R198&gt;=60,"B",R198&gt;=50,"C",R198&gt;=45,"D",R198&gt;=40,"E",R198&lt;40,"F")</f>
        <v>C</v>
      </c>
      <c r="S199" s="51" t="str" cm="1">
        <f t="array" ref="S199">_xlfn.IFS(S198&gt;= 70,"A",S198&gt;=60,"B",S198&gt;=50,"C",S198&gt;=45,"D",S198&gt;=40,"E",S198&lt;40,"F")</f>
        <v>C</v>
      </c>
      <c r="T199" s="51" t="str" cm="1">
        <f t="array" ref="T199">_xlfn.IFS(T198&gt;= 70,"A",T198&gt;=60,"B",T198&gt;=50,"C",T198&gt;=45,"D",T198&gt;=40,"E",T198&lt;40,"F")</f>
        <v>C</v>
      </c>
      <c r="U199" s="51" t="str" cm="1">
        <f t="array" ref="U199">_xlfn.IFS(U198&gt;= 70,"A",U198&gt;=60,"B",U198&gt;=50,"C",U198&gt;=45,"D",U198&gt;=40,"E",U198&lt;40,"F")</f>
        <v>C</v>
      </c>
      <c r="V199" s="51" t="str" cm="1">
        <f t="array" ref="V199">_xlfn.IFS(V198&gt;= 70,"A",V198&gt;=60,"B",V198&gt;=50,"C",V198&gt;=45,"D",V198&gt;=40,"E",V198&lt;40,"F")</f>
        <v>C</v>
      </c>
      <c r="W199" s="50" t="str" cm="1">
        <f t="array" ref="W199">_xlfn.IFS(W198&gt;= 70,"A",W198&gt;=60,"B",W198&gt;=50,"C",W198&gt;=45,"D",W198&gt;=40,"E",W198&lt;40,"F")</f>
        <v>C</v>
      </c>
      <c r="X199" s="7"/>
      <c r="Y199" s="7"/>
      <c r="Z199" s="7"/>
      <c r="AA199" s="7"/>
      <c r="AB199" s="7"/>
      <c r="AC199" s="7"/>
      <c r="AD199" s="7"/>
      <c r="AE199" s="7"/>
      <c r="AF199" s="7"/>
      <c r="AM199" s="56">
        <f t="shared" ref="AM199" si="381">SUMIFS($I$4:$W$4,I198:W198,"&gt;0")</f>
        <v>23</v>
      </c>
      <c r="AN199" s="47">
        <f t="shared" ref="AN199" si="382">(SUMIFS($I$4:$W$4,I198:W198,"&gt;0")-SUMIFS($I$4:$W$4,I199:W199,"F"))</f>
        <v>23</v>
      </c>
      <c r="AO199" s="56">
        <f t="shared" ref="AO199" si="383">SUMIFS($I$4:$W$4,I199:W199,"F")</f>
        <v>0</v>
      </c>
      <c r="AP199" s="76"/>
      <c r="AQ199" s="74"/>
      <c r="AR199" s="71"/>
    </row>
    <row r="200" spans="1:44" ht="15" thickTop="1" x14ac:dyDescent="0.3">
      <c r="A200" s="68">
        <v>98</v>
      </c>
      <c r="B200" s="70"/>
      <c r="C200" s="75"/>
      <c r="D200" s="84"/>
      <c r="E200" s="84"/>
      <c r="F200" s="84"/>
      <c r="G200" s="84"/>
      <c r="H200" s="85"/>
      <c r="I200" s="49">
        <v>56</v>
      </c>
      <c r="J200" s="49">
        <v>46</v>
      </c>
      <c r="K200" s="49">
        <v>47</v>
      </c>
      <c r="L200" s="49">
        <v>48</v>
      </c>
      <c r="M200" s="49">
        <v>49</v>
      </c>
      <c r="N200" s="49">
        <v>50</v>
      </c>
      <c r="O200" s="49">
        <v>51</v>
      </c>
      <c r="P200" s="49">
        <v>52</v>
      </c>
      <c r="Q200" s="49">
        <v>53</v>
      </c>
      <c r="R200" s="49">
        <v>54</v>
      </c>
      <c r="S200" s="49">
        <v>55</v>
      </c>
      <c r="T200" s="49">
        <v>56</v>
      </c>
      <c r="U200" s="49">
        <v>57</v>
      </c>
      <c r="V200" s="49">
        <v>58</v>
      </c>
      <c r="W200" s="49">
        <v>59</v>
      </c>
      <c r="X200" s="7"/>
      <c r="Y200" s="7"/>
      <c r="Z200" s="7"/>
      <c r="AA200" s="7"/>
      <c r="AB200" s="7"/>
      <c r="AC200" s="7"/>
      <c r="AD200" s="7"/>
      <c r="AE200" s="7"/>
      <c r="AF200" s="7"/>
      <c r="AM200" s="59"/>
      <c r="AN200" s="46"/>
      <c r="AO200" s="59"/>
      <c r="AP200" s="75" cm="1">
        <f t="array" ref="AP200">SUM(VLOOKUP(I201:W201,GRADEPOINT!$A$2:$B$7,2,0)*$I$4:$W$4)</f>
        <v>63</v>
      </c>
      <c r="AQ200" s="73">
        <f t="shared" ref="AQ200" si="384">ROUND(AP200/AM201,2)</f>
        <v>2.74</v>
      </c>
      <c r="AR200" s="72"/>
    </row>
    <row r="201" spans="1:44" ht="15" thickBot="1" x14ac:dyDescent="0.35">
      <c r="A201" s="69"/>
      <c r="B201" s="71"/>
      <c r="C201" s="86"/>
      <c r="D201" s="87"/>
      <c r="E201" s="87"/>
      <c r="F201" s="87"/>
      <c r="G201" s="87"/>
      <c r="H201" s="88"/>
      <c r="I201" s="51" t="str" cm="1">
        <f t="array" ref="I201">_xlfn.IFS(I200&gt;= 70,"A",I200&gt;=60,"B",I200&gt;=50,"C",I200&gt;=45,"D",I200&gt;=40,"E",I200&lt;40,"F")</f>
        <v>C</v>
      </c>
      <c r="J201" s="51" t="str" cm="1">
        <f t="array" ref="J201">_xlfn.IFS(J200&gt;= 70,"A",J200&gt;=60,"B",J200&gt;=50,"C",J200&gt;=45,"D",J200&gt;=40,"E",J200&lt;40,"F")</f>
        <v>D</v>
      </c>
      <c r="K201" s="51" t="str" cm="1">
        <f t="array" ref="K201">_xlfn.IFS(K200&gt;= 70,"A",K200&gt;=60,"B",K200&gt;=50,"C",K200&gt;=45,"D",K200&gt;=40,"E",K200&lt;40,"F")</f>
        <v>D</v>
      </c>
      <c r="L201" s="50" t="str" cm="1">
        <f t="array" ref="L201">_xlfn.IFS(L200&gt;= 70,"A",L200&gt;=60,"B",L200&gt;=50,"C",L200&gt;=45,"D",L200&gt;=40,"E",L200&lt;40,"F")</f>
        <v>D</v>
      </c>
      <c r="M201" s="51" t="str" cm="1">
        <f t="array" ref="M201">_xlfn.IFS(M200&gt;= 70,"A",M200&gt;=60,"B",M200&gt;=50,"C",M200&gt;=45,"D",M200&gt;=40,"E",M200&lt;40,"F")</f>
        <v>D</v>
      </c>
      <c r="N201" s="51" t="str" cm="1">
        <f t="array" ref="N201">_xlfn.IFS(N200&gt;= 70,"A",N200&gt;=60,"B",N200&gt;=50,"C",N200&gt;=45,"D",N200&gt;=40,"E",N200&lt;40,"F")</f>
        <v>C</v>
      </c>
      <c r="O201" s="51" t="str" cm="1">
        <f t="array" ref="O201">_xlfn.IFS(O200&gt;= 70,"A",O200&gt;=60,"B",O200&gt;=50,"C",O200&gt;=45,"D",O200&gt;=40,"E",O200&lt;40,"F")</f>
        <v>C</v>
      </c>
      <c r="P201" s="51" t="str" cm="1">
        <f t="array" ref="P201">_xlfn.IFS(P200&gt;= 70,"A",P200&gt;=60,"B",P200&gt;=50,"C",P200&gt;=45,"D",P200&gt;=40,"E",P200&lt;40,"F")</f>
        <v>C</v>
      </c>
      <c r="Q201" s="51" t="str" cm="1">
        <f t="array" ref="Q201">_xlfn.IFS(Q200&gt;= 70,"A",Q200&gt;=60,"B",Q200&gt;=50,"C",Q200&gt;=45,"D",Q200&gt;=40,"E",Q200&lt;40,"F")</f>
        <v>C</v>
      </c>
      <c r="R201" s="51" t="str" cm="1">
        <f t="array" ref="R201">_xlfn.IFS(R200&gt;= 70,"A",R200&gt;=60,"B",R200&gt;=50,"C",R200&gt;=45,"D",R200&gt;=40,"E",R200&lt;40,"F")</f>
        <v>C</v>
      </c>
      <c r="S201" s="51" t="str" cm="1">
        <f t="array" ref="S201">_xlfn.IFS(S200&gt;= 70,"A",S200&gt;=60,"B",S200&gt;=50,"C",S200&gt;=45,"D",S200&gt;=40,"E",S200&lt;40,"F")</f>
        <v>C</v>
      </c>
      <c r="T201" s="51" t="str" cm="1">
        <f t="array" ref="T201">_xlfn.IFS(T200&gt;= 70,"A",T200&gt;=60,"B",T200&gt;=50,"C",T200&gt;=45,"D",T200&gt;=40,"E",T200&lt;40,"F")</f>
        <v>C</v>
      </c>
      <c r="U201" s="51" t="str" cm="1">
        <f t="array" ref="U201">_xlfn.IFS(U200&gt;= 70,"A",U200&gt;=60,"B",U200&gt;=50,"C",U200&gt;=45,"D",U200&gt;=40,"E",U200&lt;40,"F")</f>
        <v>C</v>
      </c>
      <c r="V201" s="51" t="str" cm="1">
        <f t="array" ref="V201">_xlfn.IFS(V200&gt;= 70,"A",V200&gt;=60,"B",V200&gt;=50,"C",V200&gt;=45,"D",V200&gt;=40,"E",V200&lt;40,"F")</f>
        <v>C</v>
      </c>
      <c r="W201" s="50" t="str" cm="1">
        <f t="array" ref="W201">_xlfn.IFS(W200&gt;= 70,"A",W200&gt;=60,"B",W200&gt;=50,"C",W200&gt;=45,"D",W200&gt;=40,"E",W200&lt;40,"F")</f>
        <v>C</v>
      </c>
      <c r="X201" s="7"/>
      <c r="Y201" s="7"/>
      <c r="Z201" s="7"/>
      <c r="AA201" s="7"/>
      <c r="AB201" s="7"/>
      <c r="AC201" s="7"/>
      <c r="AD201" s="7"/>
      <c r="AE201" s="7"/>
      <c r="AF201" s="7"/>
      <c r="AM201" s="56">
        <f t="shared" ref="AM201" si="385">SUMIFS($I$4:$W$4,I200:W200,"&gt;0")</f>
        <v>23</v>
      </c>
      <c r="AN201" s="47">
        <f t="shared" ref="AN201" si="386">(SUMIFS($I$4:$W$4,I200:W200,"&gt;0")-SUMIFS($I$4:$W$4,I201:W201,"F"))</f>
        <v>23</v>
      </c>
      <c r="AO201" s="56">
        <f t="shared" ref="AO201" si="387">SUMIFS($I$4:$W$4,I201:W201,"F")</f>
        <v>0</v>
      </c>
      <c r="AP201" s="76"/>
      <c r="AQ201" s="74"/>
      <c r="AR201" s="71"/>
    </row>
    <row r="202" spans="1:44" ht="15" thickTop="1" x14ac:dyDescent="0.3">
      <c r="A202" s="68">
        <v>99</v>
      </c>
      <c r="B202" s="70"/>
      <c r="C202" s="75"/>
      <c r="D202" s="84"/>
      <c r="E202" s="84"/>
      <c r="F202" s="84"/>
      <c r="G202" s="84"/>
      <c r="H202" s="85"/>
      <c r="I202" s="49">
        <v>56</v>
      </c>
      <c r="J202" s="49">
        <v>46</v>
      </c>
      <c r="K202" s="49">
        <v>47</v>
      </c>
      <c r="L202" s="49">
        <v>48</v>
      </c>
      <c r="M202" s="49">
        <v>49</v>
      </c>
      <c r="N202" s="49">
        <v>50</v>
      </c>
      <c r="O202" s="49">
        <v>51</v>
      </c>
      <c r="P202" s="49">
        <v>52</v>
      </c>
      <c r="Q202" s="49">
        <v>53</v>
      </c>
      <c r="R202" s="49">
        <v>54</v>
      </c>
      <c r="S202" s="49">
        <v>55</v>
      </c>
      <c r="T202" s="49">
        <v>56</v>
      </c>
      <c r="U202" s="49">
        <v>57</v>
      </c>
      <c r="V202" s="49">
        <v>58</v>
      </c>
      <c r="W202" s="49">
        <v>59</v>
      </c>
      <c r="X202" s="7"/>
      <c r="Y202" s="7"/>
      <c r="Z202" s="7"/>
      <c r="AA202" s="7"/>
      <c r="AB202" s="7"/>
      <c r="AC202" s="7"/>
      <c r="AD202" s="7"/>
      <c r="AE202" s="7"/>
      <c r="AF202" s="7"/>
      <c r="AM202" s="59"/>
      <c r="AN202" s="46"/>
      <c r="AO202" s="59"/>
      <c r="AP202" s="75" cm="1">
        <f t="array" ref="AP202">SUM(VLOOKUP(I203:W203,GRADEPOINT!$A$2:$B$7,2,0)*$I$4:$W$4)</f>
        <v>63</v>
      </c>
      <c r="AQ202" s="73">
        <f t="shared" ref="AQ202" si="388">ROUND(AP202/AM203,2)</f>
        <v>2.74</v>
      </c>
      <c r="AR202" s="72"/>
    </row>
    <row r="203" spans="1:44" ht="15" thickBot="1" x14ac:dyDescent="0.35">
      <c r="A203" s="69"/>
      <c r="B203" s="71"/>
      <c r="C203" s="86"/>
      <c r="D203" s="87"/>
      <c r="E203" s="87"/>
      <c r="F203" s="87"/>
      <c r="G203" s="87"/>
      <c r="H203" s="88"/>
      <c r="I203" s="51" t="str" cm="1">
        <f t="array" ref="I203">_xlfn.IFS(I202&gt;= 70,"A",I202&gt;=60,"B",I202&gt;=50,"C",I202&gt;=45,"D",I202&gt;=40,"E",I202&lt;40,"F")</f>
        <v>C</v>
      </c>
      <c r="J203" s="51" t="str" cm="1">
        <f t="array" ref="J203">_xlfn.IFS(J202&gt;= 70,"A",J202&gt;=60,"B",J202&gt;=50,"C",J202&gt;=45,"D",J202&gt;=40,"E",J202&lt;40,"F")</f>
        <v>D</v>
      </c>
      <c r="K203" s="51" t="str" cm="1">
        <f t="array" ref="K203">_xlfn.IFS(K202&gt;= 70,"A",K202&gt;=60,"B",K202&gt;=50,"C",K202&gt;=45,"D",K202&gt;=40,"E",K202&lt;40,"F")</f>
        <v>D</v>
      </c>
      <c r="L203" s="50" t="str" cm="1">
        <f t="array" ref="L203">_xlfn.IFS(L202&gt;= 70,"A",L202&gt;=60,"B",L202&gt;=50,"C",L202&gt;=45,"D",L202&gt;=40,"E",L202&lt;40,"F")</f>
        <v>D</v>
      </c>
      <c r="M203" s="51" t="str" cm="1">
        <f t="array" ref="M203">_xlfn.IFS(M202&gt;= 70,"A",M202&gt;=60,"B",M202&gt;=50,"C",M202&gt;=45,"D",M202&gt;=40,"E",M202&lt;40,"F")</f>
        <v>D</v>
      </c>
      <c r="N203" s="51" t="str" cm="1">
        <f t="array" ref="N203">_xlfn.IFS(N202&gt;= 70,"A",N202&gt;=60,"B",N202&gt;=50,"C",N202&gt;=45,"D",N202&gt;=40,"E",N202&lt;40,"F")</f>
        <v>C</v>
      </c>
      <c r="O203" s="51" t="str" cm="1">
        <f t="array" ref="O203">_xlfn.IFS(O202&gt;= 70,"A",O202&gt;=60,"B",O202&gt;=50,"C",O202&gt;=45,"D",O202&gt;=40,"E",O202&lt;40,"F")</f>
        <v>C</v>
      </c>
      <c r="P203" s="51" t="str" cm="1">
        <f t="array" ref="P203">_xlfn.IFS(P202&gt;= 70,"A",P202&gt;=60,"B",P202&gt;=50,"C",P202&gt;=45,"D",P202&gt;=40,"E",P202&lt;40,"F")</f>
        <v>C</v>
      </c>
      <c r="Q203" s="51" t="str" cm="1">
        <f t="array" ref="Q203">_xlfn.IFS(Q202&gt;= 70,"A",Q202&gt;=60,"B",Q202&gt;=50,"C",Q202&gt;=45,"D",Q202&gt;=40,"E",Q202&lt;40,"F")</f>
        <v>C</v>
      </c>
      <c r="R203" s="51" t="str" cm="1">
        <f t="array" ref="R203">_xlfn.IFS(R202&gt;= 70,"A",R202&gt;=60,"B",R202&gt;=50,"C",R202&gt;=45,"D",R202&gt;=40,"E",R202&lt;40,"F")</f>
        <v>C</v>
      </c>
      <c r="S203" s="51" t="str" cm="1">
        <f t="array" ref="S203">_xlfn.IFS(S202&gt;= 70,"A",S202&gt;=60,"B",S202&gt;=50,"C",S202&gt;=45,"D",S202&gt;=40,"E",S202&lt;40,"F")</f>
        <v>C</v>
      </c>
      <c r="T203" s="51" t="str" cm="1">
        <f t="array" ref="T203">_xlfn.IFS(T202&gt;= 70,"A",T202&gt;=60,"B",T202&gt;=50,"C",T202&gt;=45,"D",T202&gt;=40,"E",T202&lt;40,"F")</f>
        <v>C</v>
      </c>
      <c r="U203" s="51" t="str" cm="1">
        <f t="array" ref="U203">_xlfn.IFS(U202&gt;= 70,"A",U202&gt;=60,"B",U202&gt;=50,"C",U202&gt;=45,"D",U202&gt;=40,"E",U202&lt;40,"F")</f>
        <v>C</v>
      </c>
      <c r="V203" s="51" t="str" cm="1">
        <f t="array" ref="V203">_xlfn.IFS(V202&gt;= 70,"A",V202&gt;=60,"B",V202&gt;=50,"C",V202&gt;=45,"D",V202&gt;=40,"E",V202&lt;40,"F")</f>
        <v>C</v>
      </c>
      <c r="W203" s="50" t="str" cm="1">
        <f t="array" ref="W203">_xlfn.IFS(W202&gt;= 70,"A",W202&gt;=60,"B",W202&gt;=50,"C",W202&gt;=45,"D",W202&gt;=40,"E",W202&lt;40,"F")</f>
        <v>C</v>
      </c>
      <c r="X203" s="7"/>
      <c r="Y203" s="7"/>
      <c r="Z203" s="7"/>
      <c r="AA203" s="7"/>
      <c r="AB203" s="7"/>
      <c r="AC203" s="7"/>
      <c r="AD203" s="7"/>
      <c r="AE203" s="7"/>
      <c r="AF203" s="7"/>
      <c r="AM203" s="56">
        <f t="shared" ref="AM203" si="389">SUMIFS($I$4:$W$4,I202:W202,"&gt;0")</f>
        <v>23</v>
      </c>
      <c r="AN203" s="47">
        <f t="shared" ref="AN203" si="390">(SUMIFS($I$4:$W$4,I202:W202,"&gt;0")-SUMIFS($I$4:$W$4,I203:W203,"F"))</f>
        <v>23</v>
      </c>
      <c r="AO203" s="56">
        <f t="shared" ref="AO203" si="391">SUMIFS($I$4:$W$4,I203:W203,"F")</f>
        <v>0</v>
      </c>
      <c r="AP203" s="76"/>
      <c r="AQ203" s="74"/>
      <c r="AR203" s="71"/>
    </row>
    <row r="204" spans="1:44" ht="15" thickTop="1" x14ac:dyDescent="0.3">
      <c r="A204" s="68">
        <v>100</v>
      </c>
      <c r="B204" s="70"/>
      <c r="C204" s="75"/>
      <c r="D204" s="84"/>
      <c r="E204" s="84"/>
      <c r="F204" s="84"/>
      <c r="G204" s="84"/>
      <c r="H204" s="85"/>
      <c r="I204" s="49">
        <v>56</v>
      </c>
      <c r="J204" s="49">
        <v>46</v>
      </c>
      <c r="K204" s="49">
        <v>47</v>
      </c>
      <c r="L204" s="49">
        <v>48</v>
      </c>
      <c r="M204" s="49">
        <v>49</v>
      </c>
      <c r="N204" s="49">
        <v>50</v>
      </c>
      <c r="O204" s="49">
        <v>51</v>
      </c>
      <c r="P204" s="49">
        <v>52</v>
      </c>
      <c r="Q204" s="49">
        <v>53</v>
      </c>
      <c r="R204" s="49">
        <v>54</v>
      </c>
      <c r="S204" s="49">
        <v>55</v>
      </c>
      <c r="T204" s="49">
        <v>56</v>
      </c>
      <c r="U204" s="49">
        <v>57</v>
      </c>
      <c r="V204" s="49">
        <v>58</v>
      </c>
      <c r="W204" s="49">
        <v>59</v>
      </c>
      <c r="X204" s="7"/>
      <c r="Y204" s="7"/>
      <c r="Z204" s="7"/>
      <c r="AA204" s="7"/>
      <c r="AB204" s="7"/>
      <c r="AC204" s="7"/>
      <c r="AD204" s="7"/>
      <c r="AE204" s="7"/>
      <c r="AF204" s="7"/>
      <c r="AM204" s="59"/>
      <c r="AN204" s="46"/>
      <c r="AO204" s="59"/>
      <c r="AP204" s="75" cm="1">
        <f t="array" ref="AP204">SUM(VLOOKUP(I205:W205,GRADEPOINT!$A$2:$B$7,2,0)*$I$4:$W$4)</f>
        <v>63</v>
      </c>
      <c r="AQ204" s="73">
        <f t="shared" ref="AQ204" si="392">ROUND(AP204/AM205,2)</f>
        <v>2.74</v>
      </c>
      <c r="AR204" s="72"/>
    </row>
    <row r="205" spans="1:44" ht="15" thickBot="1" x14ac:dyDescent="0.35">
      <c r="A205" s="69"/>
      <c r="B205" s="71"/>
      <c r="C205" s="86"/>
      <c r="D205" s="87"/>
      <c r="E205" s="87"/>
      <c r="F205" s="87"/>
      <c r="G205" s="87"/>
      <c r="H205" s="88"/>
      <c r="I205" s="51" t="str" cm="1">
        <f t="array" ref="I205">_xlfn.IFS(I204&gt;= 70,"A",I204&gt;=60,"B",I204&gt;=50,"C",I204&gt;=45,"D",I204&gt;=40,"E",I204&lt;40,"F")</f>
        <v>C</v>
      </c>
      <c r="J205" s="51" t="str" cm="1">
        <f t="array" ref="J205">_xlfn.IFS(J204&gt;= 70,"A",J204&gt;=60,"B",J204&gt;=50,"C",J204&gt;=45,"D",J204&gt;=40,"E",J204&lt;40,"F")</f>
        <v>D</v>
      </c>
      <c r="K205" s="51" t="str" cm="1">
        <f t="array" ref="K205">_xlfn.IFS(K204&gt;= 70,"A",K204&gt;=60,"B",K204&gt;=50,"C",K204&gt;=45,"D",K204&gt;=40,"E",K204&lt;40,"F")</f>
        <v>D</v>
      </c>
      <c r="L205" s="50" t="str" cm="1">
        <f t="array" ref="L205">_xlfn.IFS(L204&gt;= 70,"A",L204&gt;=60,"B",L204&gt;=50,"C",L204&gt;=45,"D",L204&gt;=40,"E",L204&lt;40,"F")</f>
        <v>D</v>
      </c>
      <c r="M205" s="51" t="str" cm="1">
        <f t="array" ref="M205">_xlfn.IFS(M204&gt;= 70,"A",M204&gt;=60,"B",M204&gt;=50,"C",M204&gt;=45,"D",M204&gt;=40,"E",M204&lt;40,"F")</f>
        <v>D</v>
      </c>
      <c r="N205" s="51" t="str" cm="1">
        <f t="array" ref="N205">_xlfn.IFS(N204&gt;= 70,"A",N204&gt;=60,"B",N204&gt;=50,"C",N204&gt;=45,"D",N204&gt;=40,"E",N204&lt;40,"F")</f>
        <v>C</v>
      </c>
      <c r="O205" s="51" t="str" cm="1">
        <f t="array" ref="O205">_xlfn.IFS(O204&gt;= 70,"A",O204&gt;=60,"B",O204&gt;=50,"C",O204&gt;=45,"D",O204&gt;=40,"E",O204&lt;40,"F")</f>
        <v>C</v>
      </c>
      <c r="P205" s="51" t="str" cm="1">
        <f t="array" ref="P205">_xlfn.IFS(P204&gt;= 70,"A",P204&gt;=60,"B",P204&gt;=50,"C",P204&gt;=45,"D",P204&gt;=40,"E",P204&lt;40,"F")</f>
        <v>C</v>
      </c>
      <c r="Q205" s="51" t="str" cm="1">
        <f t="array" ref="Q205">_xlfn.IFS(Q204&gt;= 70,"A",Q204&gt;=60,"B",Q204&gt;=50,"C",Q204&gt;=45,"D",Q204&gt;=40,"E",Q204&lt;40,"F")</f>
        <v>C</v>
      </c>
      <c r="R205" s="51" t="str" cm="1">
        <f t="array" ref="R205">_xlfn.IFS(R204&gt;= 70,"A",R204&gt;=60,"B",R204&gt;=50,"C",R204&gt;=45,"D",R204&gt;=40,"E",R204&lt;40,"F")</f>
        <v>C</v>
      </c>
      <c r="S205" s="51" t="str" cm="1">
        <f t="array" ref="S205">_xlfn.IFS(S204&gt;= 70,"A",S204&gt;=60,"B",S204&gt;=50,"C",S204&gt;=45,"D",S204&gt;=40,"E",S204&lt;40,"F")</f>
        <v>C</v>
      </c>
      <c r="T205" s="51" t="str" cm="1">
        <f t="array" ref="T205">_xlfn.IFS(T204&gt;= 70,"A",T204&gt;=60,"B",T204&gt;=50,"C",T204&gt;=45,"D",T204&gt;=40,"E",T204&lt;40,"F")</f>
        <v>C</v>
      </c>
      <c r="U205" s="51" t="str" cm="1">
        <f t="array" ref="U205">_xlfn.IFS(U204&gt;= 70,"A",U204&gt;=60,"B",U204&gt;=50,"C",U204&gt;=45,"D",U204&gt;=40,"E",U204&lt;40,"F")</f>
        <v>C</v>
      </c>
      <c r="V205" s="51" t="str" cm="1">
        <f t="array" ref="V205">_xlfn.IFS(V204&gt;= 70,"A",V204&gt;=60,"B",V204&gt;=50,"C",V204&gt;=45,"D",V204&gt;=40,"E",V204&lt;40,"F")</f>
        <v>C</v>
      </c>
      <c r="W205" s="50" t="str" cm="1">
        <f t="array" ref="W205">_xlfn.IFS(W204&gt;= 70,"A",W204&gt;=60,"B",W204&gt;=50,"C",W204&gt;=45,"D",W204&gt;=40,"E",W204&lt;40,"F")</f>
        <v>C</v>
      </c>
      <c r="X205" s="7"/>
      <c r="Y205" s="7"/>
      <c r="Z205" s="7"/>
      <c r="AA205" s="7"/>
      <c r="AB205" s="7"/>
      <c r="AC205" s="7"/>
      <c r="AD205" s="7"/>
      <c r="AE205" s="7"/>
      <c r="AF205" s="7"/>
      <c r="AM205" s="56">
        <f t="shared" ref="AM205" si="393">SUMIFS($I$4:$W$4,I204:W204,"&gt;0")</f>
        <v>23</v>
      </c>
      <c r="AN205" s="47">
        <f t="shared" ref="AN205" si="394">(SUMIFS($I$4:$W$4,I204:W204,"&gt;0")-SUMIFS($I$4:$W$4,I205:W205,"F"))</f>
        <v>23</v>
      </c>
      <c r="AO205" s="56">
        <f t="shared" ref="AO205" si="395">SUMIFS($I$4:$W$4,I205:W205,"F")</f>
        <v>0</v>
      </c>
      <c r="AP205" s="76"/>
      <c r="AQ205" s="74"/>
      <c r="AR205" s="71"/>
    </row>
    <row r="206" spans="1:44" ht="15" thickTop="1" x14ac:dyDescent="0.3">
      <c r="A206" s="68">
        <v>101</v>
      </c>
      <c r="B206" s="70"/>
      <c r="C206" s="75"/>
      <c r="D206" s="84"/>
      <c r="E206" s="84"/>
      <c r="F206" s="84"/>
      <c r="G206" s="84"/>
      <c r="H206" s="85"/>
      <c r="I206" s="49">
        <v>56</v>
      </c>
      <c r="J206" s="49">
        <v>46</v>
      </c>
      <c r="K206" s="49">
        <v>47</v>
      </c>
      <c r="L206" s="49">
        <v>48</v>
      </c>
      <c r="M206" s="49">
        <v>49</v>
      </c>
      <c r="N206" s="49">
        <v>50</v>
      </c>
      <c r="O206" s="49">
        <v>51</v>
      </c>
      <c r="P206" s="49">
        <v>52</v>
      </c>
      <c r="Q206" s="49">
        <v>53</v>
      </c>
      <c r="R206" s="49">
        <v>54</v>
      </c>
      <c r="S206" s="49">
        <v>55</v>
      </c>
      <c r="T206" s="49">
        <v>56</v>
      </c>
      <c r="U206" s="49">
        <v>57</v>
      </c>
      <c r="V206" s="49">
        <v>58</v>
      </c>
      <c r="W206" s="49">
        <v>59</v>
      </c>
      <c r="X206" s="7"/>
      <c r="Y206" s="7"/>
      <c r="Z206" s="7"/>
      <c r="AA206" s="7"/>
      <c r="AB206" s="7"/>
      <c r="AC206" s="7"/>
      <c r="AD206" s="7"/>
      <c r="AE206" s="7"/>
      <c r="AF206" s="7"/>
      <c r="AM206" s="59"/>
      <c r="AN206" s="46"/>
      <c r="AO206" s="59"/>
      <c r="AP206" s="75" cm="1">
        <f t="array" ref="AP206">SUM(VLOOKUP(I207:W207,GRADEPOINT!$A$2:$B$7,2,0)*$I$4:$W$4)</f>
        <v>63</v>
      </c>
      <c r="AQ206" s="73">
        <f t="shared" ref="AQ206" si="396">ROUND(AP206/AM207,2)</f>
        <v>2.74</v>
      </c>
      <c r="AR206" s="72"/>
    </row>
    <row r="207" spans="1:44" ht="15" thickBot="1" x14ac:dyDescent="0.35">
      <c r="A207" s="69"/>
      <c r="B207" s="71"/>
      <c r="C207" s="86"/>
      <c r="D207" s="87"/>
      <c r="E207" s="87"/>
      <c r="F207" s="87"/>
      <c r="G207" s="87"/>
      <c r="H207" s="88"/>
      <c r="I207" s="51" t="str" cm="1">
        <f t="array" ref="I207">_xlfn.IFS(I206&gt;= 70,"A",I206&gt;=60,"B",I206&gt;=50,"C",I206&gt;=45,"D",I206&gt;=40,"E",I206&lt;40,"F")</f>
        <v>C</v>
      </c>
      <c r="J207" s="51" t="str" cm="1">
        <f t="array" ref="J207">_xlfn.IFS(J206&gt;= 70,"A",J206&gt;=60,"B",J206&gt;=50,"C",J206&gt;=45,"D",J206&gt;=40,"E",J206&lt;40,"F")</f>
        <v>D</v>
      </c>
      <c r="K207" s="51" t="str" cm="1">
        <f t="array" ref="K207">_xlfn.IFS(K206&gt;= 70,"A",K206&gt;=60,"B",K206&gt;=50,"C",K206&gt;=45,"D",K206&gt;=40,"E",K206&lt;40,"F")</f>
        <v>D</v>
      </c>
      <c r="L207" s="50" t="str" cm="1">
        <f t="array" ref="L207">_xlfn.IFS(L206&gt;= 70,"A",L206&gt;=60,"B",L206&gt;=50,"C",L206&gt;=45,"D",L206&gt;=40,"E",L206&lt;40,"F")</f>
        <v>D</v>
      </c>
      <c r="M207" s="51" t="str" cm="1">
        <f t="array" ref="M207">_xlfn.IFS(M206&gt;= 70,"A",M206&gt;=60,"B",M206&gt;=50,"C",M206&gt;=45,"D",M206&gt;=40,"E",M206&lt;40,"F")</f>
        <v>D</v>
      </c>
      <c r="N207" s="51" t="str" cm="1">
        <f t="array" ref="N207">_xlfn.IFS(N206&gt;= 70,"A",N206&gt;=60,"B",N206&gt;=50,"C",N206&gt;=45,"D",N206&gt;=40,"E",N206&lt;40,"F")</f>
        <v>C</v>
      </c>
      <c r="O207" s="51" t="str" cm="1">
        <f t="array" ref="O207">_xlfn.IFS(O206&gt;= 70,"A",O206&gt;=60,"B",O206&gt;=50,"C",O206&gt;=45,"D",O206&gt;=40,"E",O206&lt;40,"F")</f>
        <v>C</v>
      </c>
      <c r="P207" s="51" t="str" cm="1">
        <f t="array" ref="P207">_xlfn.IFS(P206&gt;= 70,"A",P206&gt;=60,"B",P206&gt;=50,"C",P206&gt;=45,"D",P206&gt;=40,"E",P206&lt;40,"F")</f>
        <v>C</v>
      </c>
      <c r="Q207" s="51" t="str" cm="1">
        <f t="array" ref="Q207">_xlfn.IFS(Q206&gt;= 70,"A",Q206&gt;=60,"B",Q206&gt;=50,"C",Q206&gt;=45,"D",Q206&gt;=40,"E",Q206&lt;40,"F")</f>
        <v>C</v>
      </c>
      <c r="R207" s="51" t="str" cm="1">
        <f t="array" ref="R207">_xlfn.IFS(R206&gt;= 70,"A",R206&gt;=60,"B",R206&gt;=50,"C",R206&gt;=45,"D",R206&gt;=40,"E",R206&lt;40,"F")</f>
        <v>C</v>
      </c>
      <c r="S207" s="51" t="str" cm="1">
        <f t="array" ref="S207">_xlfn.IFS(S206&gt;= 70,"A",S206&gt;=60,"B",S206&gt;=50,"C",S206&gt;=45,"D",S206&gt;=40,"E",S206&lt;40,"F")</f>
        <v>C</v>
      </c>
      <c r="T207" s="51" t="str" cm="1">
        <f t="array" ref="T207">_xlfn.IFS(T206&gt;= 70,"A",T206&gt;=60,"B",T206&gt;=50,"C",T206&gt;=45,"D",T206&gt;=40,"E",T206&lt;40,"F")</f>
        <v>C</v>
      </c>
      <c r="U207" s="51" t="str" cm="1">
        <f t="array" ref="U207">_xlfn.IFS(U206&gt;= 70,"A",U206&gt;=60,"B",U206&gt;=50,"C",U206&gt;=45,"D",U206&gt;=40,"E",U206&lt;40,"F")</f>
        <v>C</v>
      </c>
      <c r="V207" s="51" t="str" cm="1">
        <f t="array" ref="V207">_xlfn.IFS(V206&gt;= 70,"A",V206&gt;=60,"B",V206&gt;=50,"C",V206&gt;=45,"D",V206&gt;=40,"E",V206&lt;40,"F")</f>
        <v>C</v>
      </c>
      <c r="W207" s="50" t="str" cm="1">
        <f t="array" ref="W207">_xlfn.IFS(W206&gt;= 70,"A",W206&gt;=60,"B",W206&gt;=50,"C",W206&gt;=45,"D",W206&gt;=40,"E",W206&lt;40,"F")</f>
        <v>C</v>
      </c>
      <c r="X207" s="7"/>
      <c r="Y207" s="7"/>
      <c r="Z207" s="7"/>
      <c r="AA207" s="7"/>
      <c r="AB207" s="7"/>
      <c r="AC207" s="7"/>
      <c r="AD207" s="7"/>
      <c r="AE207" s="7"/>
      <c r="AF207" s="7"/>
      <c r="AM207" s="56">
        <f t="shared" ref="AM207" si="397">SUMIFS($I$4:$W$4,I206:W206,"&gt;0")</f>
        <v>23</v>
      </c>
      <c r="AN207" s="47">
        <f t="shared" ref="AN207" si="398">(SUMIFS($I$4:$W$4,I206:W206,"&gt;0")-SUMIFS($I$4:$W$4,I207:W207,"F"))</f>
        <v>23</v>
      </c>
      <c r="AO207" s="56">
        <f t="shared" ref="AO207" si="399">SUMIFS($I$4:$W$4,I207:W207,"F")</f>
        <v>0</v>
      </c>
      <c r="AP207" s="76"/>
      <c r="AQ207" s="74"/>
      <c r="AR207" s="71"/>
    </row>
    <row r="208" spans="1:44" ht="15" thickTop="1" x14ac:dyDescent="0.3">
      <c r="A208" s="68">
        <v>102</v>
      </c>
      <c r="B208" s="70"/>
      <c r="C208" s="75"/>
      <c r="D208" s="84"/>
      <c r="E208" s="84"/>
      <c r="F208" s="84"/>
      <c r="G208" s="84"/>
      <c r="H208" s="85"/>
      <c r="I208" s="49">
        <v>56</v>
      </c>
      <c r="J208" s="49">
        <v>46</v>
      </c>
      <c r="K208" s="49">
        <v>47</v>
      </c>
      <c r="L208" s="49">
        <v>48</v>
      </c>
      <c r="M208" s="49">
        <v>49</v>
      </c>
      <c r="N208" s="49">
        <v>50</v>
      </c>
      <c r="O208" s="49">
        <v>51</v>
      </c>
      <c r="P208" s="49">
        <v>52</v>
      </c>
      <c r="Q208" s="49">
        <v>53</v>
      </c>
      <c r="R208" s="49">
        <v>54</v>
      </c>
      <c r="S208" s="49">
        <v>55</v>
      </c>
      <c r="T208" s="49">
        <v>56</v>
      </c>
      <c r="U208" s="49">
        <v>57</v>
      </c>
      <c r="V208" s="49">
        <v>58</v>
      </c>
      <c r="W208" s="49">
        <v>59</v>
      </c>
      <c r="X208" s="7"/>
      <c r="Y208" s="7"/>
      <c r="Z208" s="7"/>
      <c r="AA208" s="7"/>
      <c r="AB208" s="7"/>
      <c r="AC208" s="7"/>
      <c r="AD208" s="7"/>
      <c r="AE208" s="7"/>
      <c r="AF208" s="7"/>
      <c r="AM208" s="59"/>
      <c r="AN208" s="46"/>
      <c r="AO208" s="59"/>
      <c r="AP208" s="75" cm="1">
        <f t="array" ref="AP208">SUM(VLOOKUP(I209:W209,GRADEPOINT!$A$2:$B$7,2,0)*$I$4:$W$4)</f>
        <v>63</v>
      </c>
      <c r="AQ208" s="73">
        <f t="shared" ref="AQ208" si="400">ROUND(AP208/AM209,2)</f>
        <v>2.74</v>
      </c>
      <c r="AR208" s="72"/>
    </row>
    <row r="209" spans="1:44" ht="15" thickBot="1" x14ac:dyDescent="0.35">
      <c r="A209" s="69"/>
      <c r="B209" s="71"/>
      <c r="C209" s="86"/>
      <c r="D209" s="87"/>
      <c r="E209" s="87"/>
      <c r="F209" s="87"/>
      <c r="G209" s="87"/>
      <c r="H209" s="88"/>
      <c r="I209" s="51" t="str" cm="1">
        <f t="array" ref="I209">_xlfn.IFS(I208&gt;= 70,"A",I208&gt;=60,"B",I208&gt;=50,"C",I208&gt;=45,"D",I208&gt;=40,"E",I208&lt;40,"F")</f>
        <v>C</v>
      </c>
      <c r="J209" s="51" t="str" cm="1">
        <f t="array" ref="J209">_xlfn.IFS(J208&gt;= 70,"A",J208&gt;=60,"B",J208&gt;=50,"C",J208&gt;=45,"D",J208&gt;=40,"E",J208&lt;40,"F")</f>
        <v>D</v>
      </c>
      <c r="K209" s="51" t="str" cm="1">
        <f t="array" ref="K209">_xlfn.IFS(K208&gt;= 70,"A",K208&gt;=60,"B",K208&gt;=50,"C",K208&gt;=45,"D",K208&gt;=40,"E",K208&lt;40,"F")</f>
        <v>D</v>
      </c>
      <c r="L209" s="50" t="str" cm="1">
        <f t="array" ref="L209">_xlfn.IFS(L208&gt;= 70,"A",L208&gt;=60,"B",L208&gt;=50,"C",L208&gt;=45,"D",L208&gt;=40,"E",L208&lt;40,"F")</f>
        <v>D</v>
      </c>
      <c r="M209" s="51" t="str" cm="1">
        <f t="array" ref="M209">_xlfn.IFS(M208&gt;= 70,"A",M208&gt;=60,"B",M208&gt;=50,"C",M208&gt;=45,"D",M208&gt;=40,"E",M208&lt;40,"F")</f>
        <v>D</v>
      </c>
      <c r="N209" s="51" t="str" cm="1">
        <f t="array" ref="N209">_xlfn.IFS(N208&gt;= 70,"A",N208&gt;=60,"B",N208&gt;=50,"C",N208&gt;=45,"D",N208&gt;=40,"E",N208&lt;40,"F")</f>
        <v>C</v>
      </c>
      <c r="O209" s="51" t="str" cm="1">
        <f t="array" ref="O209">_xlfn.IFS(O208&gt;= 70,"A",O208&gt;=60,"B",O208&gt;=50,"C",O208&gt;=45,"D",O208&gt;=40,"E",O208&lt;40,"F")</f>
        <v>C</v>
      </c>
      <c r="P209" s="51" t="str" cm="1">
        <f t="array" ref="P209">_xlfn.IFS(P208&gt;= 70,"A",P208&gt;=60,"B",P208&gt;=50,"C",P208&gt;=45,"D",P208&gt;=40,"E",P208&lt;40,"F")</f>
        <v>C</v>
      </c>
      <c r="Q209" s="51" t="str" cm="1">
        <f t="array" ref="Q209">_xlfn.IFS(Q208&gt;= 70,"A",Q208&gt;=60,"B",Q208&gt;=50,"C",Q208&gt;=45,"D",Q208&gt;=40,"E",Q208&lt;40,"F")</f>
        <v>C</v>
      </c>
      <c r="R209" s="51" t="str" cm="1">
        <f t="array" ref="R209">_xlfn.IFS(R208&gt;= 70,"A",R208&gt;=60,"B",R208&gt;=50,"C",R208&gt;=45,"D",R208&gt;=40,"E",R208&lt;40,"F")</f>
        <v>C</v>
      </c>
      <c r="S209" s="51" t="str" cm="1">
        <f t="array" ref="S209">_xlfn.IFS(S208&gt;= 70,"A",S208&gt;=60,"B",S208&gt;=50,"C",S208&gt;=45,"D",S208&gt;=40,"E",S208&lt;40,"F")</f>
        <v>C</v>
      </c>
      <c r="T209" s="51" t="str" cm="1">
        <f t="array" ref="T209">_xlfn.IFS(T208&gt;= 70,"A",T208&gt;=60,"B",T208&gt;=50,"C",T208&gt;=45,"D",T208&gt;=40,"E",T208&lt;40,"F")</f>
        <v>C</v>
      </c>
      <c r="U209" s="51" t="str" cm="1">
        <f t="array" ref="U209">_xlfn.IFS(U208&gt;= 70,"A",U208&gt;=60,"B",U208&gt;=50,"C",U208&gt;=45,"D",U208&gt;=40,"E",U208&lt;40,"F")</f>
        <v>C</v>
      </c>
      <c r="V209" s="51" t="str" cm="1">
        <f t="array" ref="V209">_xlfn.IFS(V208&gt;= 70,"A",V208&gt;=60,"B",V208&gt;=50,"C",V208&gt;=45,"D",V208&gt;=40,"E",V208&lt;40,"F")</f>
        <v>C</v>
      </c>
      <c r="W209" s="50" t="str" cm="1">
        <f t="array" ref="W209">_xlfn.IFS(W208&gt;= 70,"A",W208&gt;=60,"B",W208&gt;=50,"C",W208&gt;=45,"D",W208&gt;=40,"E",W208&lt;40,"F")</f>
        <v>C</v>
      </c>
      <c r="X209" s="7"/>
      <c r="Y209" s="7"/>
      <c r="Z209" s="7"/>
      <c r="AA209" s="7"/>
      <c r="AB209" s="7"/>
      <c r="AC209" s="7"/>
      <c r="AD209" s="7"/>
      <c r="AE209" s="7"/>
      <c r="AF209" s="7"/>
      <c r="AM209" s="56">
        <f t="shared" ref="AM209" si="401">SUMIFS($I$4:$W$4,I208:W208,"&gt;0")</f>
        <v>23</v>
      </c>
      <c r="AN209" s="47">
        <f t="shared" ref="AN209" si="402">(SUMIFS($I$4:$W$4,I208:W208,"&gt;0")-SUMIFS($I$4:$W$4,I209:W209,"F"))</f>
        <v>23</v>
      </c>
      <c r="AO209" s="56">
        <f t="shared" ref="AO209" si="403">SUMIFS($I$4:$W$4,I209:W209,"F")</f>
        <v>0</v>
      </c>
      <c r="AP209" s="76"/>
      <c r="AQ209" s="74"/>
      <c r="AR209" s="71"/>
    </row>
    <row r="210" spans="1:44" ht="15" thickTop="1" x14ac:dyDescent="0.3">
      <c r="A210" s="68">
        <v>103</v>
      </c>
      <c r="B210" s="70"/>
      <c r="C210" s="75"/>
      <c r="D210" s="84"/>
      <c r="E210" s="84"/>
      <c r="F210" s="84"/>
      <c r="G210" s="84"/>
      <c r="H210" s="85"/>
      <c r="I210" s="49">
        <v>56</v>
      </c>
      <c r="J210" s="49">
        <v>46</v>
      </c>
      <c r="K210" s="49">
        <v>47</v>
      </c>
      <c r="L210" s="49">
        <v>48</v>
      </c>
      <c r="M210" s="49">
        <v>49</v>
      </c>
      <c r="N210" s="49">
        <v>50</v>
      </c>
      <c r="O210" s="49">
        <v>51</v>
      </c>
      <c r="P210" s="49">
        <v>52</v>
      </c>
      <c r="Q210" s="49">
        <v>53</v>
      </c>
      <c r="R210" s="49">
        <v>54</v>
      </c>
      <c r="S210" s="49">
        <v>55</v>
      </c>
      <c r="T210" s="49">
        <v>56</v>
      </c>
      <c r="U210" s="49">
        <v>57</v>
      </c>
      <c r="V210" s="49">
        <v>58</v>
      </c>
      <c r="W210" s="49">
        <v>59</v>
      </c>
      <c r="X210" s="7"/>
      <c r="Y210" s="7"/>
      <c r="Z210" s="7"/>
      <c r="AA210" s="7"/>
      <c r="AB210" s="7"/>
      <c r="AC210" s="7"/>
      <c r="AD210" s="7"/>
      <c r="AE210" s="7"/>
      <c r="AF210" s="7"/>
      <c r="AM210" s="59"/>
      <c r="AN210" s="46"/>
      <c r="AO210" s="59"/>
      <c r="AP210" s="75" cm="1">
        <f t="array" ref="AP210">SUM(VLOOKUP(I211:W211,GRADEPOINT!$A$2:$B$7,2,0)*$I$4:$W$4)</f>
        <v>63</v>
      </c>
      <c r="AQ210" s="73">
        <f t="shared" ref="AQ210" si="404">ROUND(AP210/AM211,2)</f>
        <v>2.74</v>
      </c>
      <c r="AR210" s="72"/>
    </row>
    <row r="211" spans="1:44" ht="15" thickBot="1" x14ac:dyDescent="0.35">
      <c r="A211" s="69"/>
      <c r="B211" s="71"/>
      <c r="C211" s="86"/>
      <c r="D211" s="87"/>
      <c r="E211" s="87"/>
      <c r="F211" s="87"/>
      <c r="G211" s="87"/>
      <c r="H211" s="88"/>
      <c r="I211" s="51" t="str" cm="1">
        <f t="array" ref="I211">_xlfn.IFS(I210&gt;= 70,"A",I210&gt;=60,"B",I210&gt;=50,"C",I210&gt;=45,"D",I210&gt;=40,"E",I210&lt;40,"F")</f>
        <v>C</v>
      </c>
      <c r="J211" s="51" t="str" cm="1">
        <f t="array" ref="J211">_xlfn.IFS(J210&gt;= 70,"A",J210&gt;=60,"B",J210&gt;=50,"C",J210&gt;=45,"D",J210&gt;=40,"E",J210&lt;40,"F")</f>
        <v>D</v>
      </c>
      <c r="K211" s="51" t="str" cm="1">
        <f t="array" ref="K211">_xlfn.IFS(K210&gt;= 70,"A",K210&gt;=60,"B",K210&gt;=50,"C",K210&gt;=45,"D",K210&gt;=40,"E",K210&lt;40,"F")</f>
        <v>D</v>
      </c>
      <c r="L211" s="50" t="str" cm="1">
        <f t="array" ref="L211">_xlfn.IFS(L210&gt;= 70,"A",L210&gt;=60,"B",L210&gt;=50,"C",L210&gt;=45,"D",L210&gt;=40,"E",L210&lt;40,"F")</f>
        <v>D</v>
      </c>
      <c r="M211" s="51" t="str" cm="1">
        <f t="array" ref="M211">_xlfn.IFS(M210&gt;= 70,"A",M210&gt;=60,"B",M210&gt;=50,"C",M210&gt;=45,"D",M210&gt;=40,"E",M210&lt;40,"F")</f>
        <v>D</v>
      </c>
      <c r="N211" s="51" t="str" cm="1">
        <f t="array" ref="N211">_xlfn.IFS(N210&gt;= 70,"A",N210&gt;=60,"B",N210&gt;=50,"C",N210&gt;=45,"D",N210&gt;=40,"E",N210&lt;40,"F")</f>
        <v>C</v>
      </c>
      <c r="O211" s="51" t="str" cm="1">
        <f t="array" ref="O211">_xlfn.IFS(O210&gt;= 70,"A",O210&gt;=60,"B",O210&gt;=50,"C",O210&gt;=45,"D",O210&gt;=40,"E",O210&lt;40,"F")</f>
        <v>C</v>
      </c>
      <c r="P211" s="51" t="str" cm="1">
        <f t="array" ref="P211">_xlfn.IFS(P210&gt;= 70,"A",P210&gt;=60,"B",P210&gt;=50,"C",P210&gt;=45,"D",P210&gt;=40,"E",P210&lt;40,"F")</f>
        <v>C</v>
      </c>
      <c r="Q211" s="51" t="str" cm="1">
        <f t="array" ref="Q211">_xlfn.IFS(Q210&gt;= 70,"A",Q210&gt;=60,"B",Q210&gt;=50,"C",Q210&gt;=45,"D",Q210&gt;=40,"E",Q210&lt;40,"F")</f>
        <v>C</v>
      </c>
      <c r="R211" s="51" t="str" cm="1">
        <f t="array" ref="R211">_xlfn.IFS(R210&gt;= 70,"A",R210&gt;=60,"B",R210&gt;=50,"C",R210&gt;=45,"D",R210&gt;=40,"E",R210&lt;40,"F")</f>
        <v>C</v>
      </c>
      <c r="S211" s="51" t="str" cm="1">
        <f t="array" ref="S211">_xlfn.IFS(S210&gt;= 70,"A",S210&gt;=60,"B",S210&gt;=50,"C",S210&gt;=45,"D",S210&gt;=40,"E",S210&lt;40,"F")</f>
        <v>C</v>
      </c>
      <c r="T211" s="51" t="str" cm="1">
        <f t="array" ref="T211">_xlfn.IFS(T210&gt;= 70,"A",T210&gt;=60,"B",T210&gt;=50,"C",T210&gt;=45,"D",T210&gt;=40,"E",T210&lt;40,"F")</f>
        <v>C</v>
      </c>
      <c r="U211" s="51" t="str" cm="1">
        <f t="array" ref="U211">_xlfn.IFS(U210&gt;= 70,"A",U210&gt;=60,"B",U210&gt;=50,"C",U210&gt;=45,"D",U210&gt;=40,"E",U210&lt;40,"F")</f>
        <v>C</v>
      </c>
      <c r="V211" s="51" t="str" cm="1">
        <f t="array" ref="V211">_xlfn.IFS(V210&gt;= 70,"A",V210&gt;=60,"B",V210&gt;=50,"C",V210&gt;=45,"D",V210&gt;=40,"E",V210&lt;40,"F")</f>
        <v>C</v>
      </c>
      <c r="W211" s="50" t="str" cm="1">
        <f t="array" ref="W211">_xlfn.IFS(W210&gt;= 70,"A",W210&gt;=60,"B",W210&gt;=50,"C",W210&gt;=45,"D",W210&gt;=40,"E",W210&lt;40,"F")</f>
        <v>C</v>
      </c>
      <c r="X211" s="7"/>
      <c r="Y211" s="7"/>
      <c r="Z211" s="7"/>
      <c r="AA211" s="7"/>
      <c r="AB211" s="7"/>
      <c r="AC211" s="7"/>
      <c r="AD211" s="7"/>
      <c r="AE211" s="7"/>
      <c r="AF211" s="7"/>
      <c r="AM211" s="56">
        <f t="shared" ref="AM211" si="405">SUMIFS($I$4:$W$4,I210:W210,"&gt;0")</f>
        <v>23</v>
      </c>
      <c r="AN211" s="47">
        <f t="shared" ref="AN211" si="406">(SUMIFS($I$4:$W$4,I210:W210,"&gt;0")-SUMIFS($I$4:$W$4,I211:W211,"F"))</f>
        <v>23</v>
      </c>
      <c r="AO211" s="56">
        <f t="shared" ref="AO211" si="407">SUMIFS($I$4:$W$4,I211:W211,"F")</f>
        <v>0</v>
      </c>
      <c r="AP211" s="76"/>
      <c r="AQ211" s="74"/>
      <c r="AR211" s="71"/>
    </row>
    <row r="212" spans="1:44" ht="15" thickTop="1" x14ac:dyDescent="0.3">
      <c r="A212" s="68">
        <v>104</v>
      </c>
      <c r="B212" s="70"/>
      <c r="C212" s="75"/>
      <c r="D212" s="84"/>
      <c r="E212" s="84"/>
      <c r="F212" s="84"/>
      <c r="G212" s="84"/>
      <c r="H212" s="85"/>
      <c r="I212" s="49">
        <v>56</v>
      </c>
      <c r="J212" s="49">
        <v>46</v>
      </c>
      <c r="K212" s="49">
        <v>47</v>
      </c>
      <c r="L212" s="49">
        <v>48</v>
      </c>
      <c r="M212" s="49">
        <v>49</v>
      </c>
      <c r="N212" s="49">
        <v>50</v>
      </c>
      <c r="O212" s="49">
        <v>51</v>
      </c>
      <c r="P212" s="49">
        <v>52</v>
      </c>
      <c r="Q212" s="49">
        <v>53</v>
      </c>
      <c r="R212" s="49">
        <v>54</v>
      </c>
      <c r="S212" s="49">
        <v>55</v>
      </c>
      <c r="T212" s="49">
        <v>56</v>
      </c>
      <c r="U212" s="49">
        <v>57</v>
      </c>
      <c r="V212" s="49">
        <v>58</v>
      </c>
      <c r="W212" s="49">
        <v>59</v>
      </c>
      <c r="X212" s="7"/>
      <c r="Y212" s="7"/>
      <c r="Z212" s="7"/>
      <c r="AA212" s="7"/>
      <c r="AB212" s="7"/>
      <c r="AC212" s="7"/>
      <c r="AD212" s="7"/>
      <c r="AE212" s="7"/>
      <c r="AF212" s="7"/>
      <c r="AM212" s="59"/>
      <c r="AN212" s="46"/>
      <c r="AO212" s="59"/>
      <c r="AP212" s="75" cm="1">
        <f t="array" ref="AP212">SUM(VLOOKUP(I213:W213,GRADEPOINT!$A$2:$B$7,2,0)*$I$4:$W$4)</f>
        <v>63</v>
      </c>
      <c r="AQ212" s="73">
        <f t="shared" ref="AQ212" si="408">ROUND(AP212/AM213,2)</f>
        <v>2.74</v>
      </c>
      <c r="AR212" s="72"/>
    </row>
    <row r="213" spans="1:44" ht="15" thickBot="1" x14ac:dyDescent="0.35">
      <c r="A213" s="69"/>
      <c r="B213" s="71"/>
      <c r="C213" s="86"/>
      <c r="D213" s="87"/>
      <c r="E213" s="87"/>
      <c r="F213" s="87"/>
      <c r="G213" s="87"/>
      <c r="H213" s="88"/>
      <c r="I213" s="51" t="str" cm="1">
        <f t="array" ref="I213">_xlfn.IFS(I212&gt;= 70,"A",I212&gt;=60,"B",I212&gt;=50,"C",I212&gt;=45,"D",I212&gt;=40,"E",I212&lt;40,"F")</f>
        <v>C</v>
      </c>
      <c r="J213" s="51" t="str" cm="1">
        <f t="array" ref="J213">_xlfn.IFS(J212&gt;= 70,"A",J212&gt;=60,"B",J212&gt;=50,"C",J212&gt;=45,"D",J212&gt;=40,"E",J212&lt;40,"F")</f>
        <v>D</v>
      </c>
      <c r="K213" s="51" t="str" cm="1">
        <f t="array" ref="K213">_xlfn.IFS(K212&gt;= 70,"A",K212&gt;=60,"B",K212&gt;=50,"C",K212&gt;=45,"D",K212&gt;=40,"E",K212&lt;40,"F")</f>
        <v>D</v>
      </c>
      <c r="L213" s="50" t="str" cm="1">
        <f t="array" ref="L213">_xlfn.IFS(L212&gt;= 70,"A",L212&gt;=60,"B",L212&gt;=50,"C",L212&gt;=45,"D",L212&gt;=40,"E",L212&lt;40,"F")</f>
        <v>D</v>
      </c>
      <c r="M213" s="51" t="str" cm="1">
        <f t="array" ref="M213">_xlfn.IFS(M212&gt;= 70,"A",M212&gt;=60,"B",M212&gt;=50,"C",M212&gt;=45,"D",M212&gt;=40,"E",M212&lt;40,"F")</f>
        <v>D</v>
      </c>
      <c r="N213" s="51" t="str" cm="1">
        <f t="array" ref="N213">_xlfn.IFS(N212&gt;= 70,"A",N212&gt;=60,"B",N212&gt;=50,"C",N212&gt;=45,"D",N212&gt;=40,"E",N212&lt;40,"F")</f>
        <v>C</v>
      </c>
      <c r="O213" s="51" t="str" cm="1">
        <f t="array" ref="O213">_xlfn.IFS(O212&gt;= 70,"A",O212&gt;=60,"B",O212&gt;=50,"C",O212&gt;=45,"D",O212&gt;=40,"E",O212&lt;40,"F")</f>
        <v>C</v>
      </c>
      <c r="P213" s="51" t="str" cm="1">
        <f t="array" ref="P213">_xlfn.IFS(P212&gt;= 70,"A",P212&gt;=60,"B",P212&gt;=50,"C",P212&gt;=45,"D",P212&gt;=40,"E",P212&lt;40,"F")</f>
        <v>C</v>
      </c>
      <c r="Q213" s="51" t="str" cm="1">
        <f t="array" ref="Q213">_xlfn.IFS(Q212&gt;= 70,"A",Q212&gt;=60,"B",Q212&gt;=50,"C",Q212&gt;=45,"D",Q212&gt;=40,"E",Q212&lt;40,"F")</f>
        <v>C</v>
      </c>
      <c r="R213" s="51" t="str" cm="1">
        <f t="array" ref="R213">_xlfn.IFS(R212&gt;= 70,"A",R212&gt;=60,"B",R212&gt;=50,"C",R212&gt;=45,"D",R212&gt;=40,"E",R212&lt;40,"F")</f>
        <v>C</v>
      </c>
      <c r="S213" s="51" t="str" cm="1">
        <f t="array" ref="S213">_xlfn.IFS(S212&gt;= 70,"A",S212&gt;=60,"B",S212&gt;=50,"C",S212&gt;=45,"D",S212&gt;=40,"E",S212&lt;40,"F")</f>
        <v>C</v>
      </c>
      <c r="T213" s="51" t="str" cm="1">
        <f t="array" ref="T213">_xlfn.IFS(T212&gt;= 70,"A",T212&gt;=60,"B",T212&gt;=50,"C",T212&gt;=45,"D",T212&gt;=40,"E",T212&lt;40,"F")</f>
        <v>C</v>
      </c>
      <c r="U213" s="51" t="str" cm="1">
        <f t="array" ref="U213">_xlfn.IFS(U212&gt;= 70,"A",U212&gt;=60,"B",U212&gt;=50,"C",U212&gt;=45,"D",U212&gt;=40,"E",U212&lt;40,"F")</f>
        <v>C</v>
      </c>
      <c r="V213" s="51" t="str" cm="1">
        <f t="array" ref="V213">_xlfn.IFS(V212&gt;= 70,"A",V212&gt;=60,"B",V212&gt;=50,"C",V212&gt;=45,"D",V212&gt;=40,"E",V212&lt;40,"F")</f>
        <v>C</v>
      </c>
      <c r="W213" s="50" t="str" cm="1">
        <f t="array" ref="W213">_xlfn.IFS(W212&gt;= 70,"A",W212&gt;=60,"B",W212&gt;=50,"C",W212&gt;=45,"D",W212&gt;=40,"E",W212&lt;40,"F")</f>
        <v>C</v>
      </c>
      <c r="X213" s="7"/>
      <c r="Y213" s="7"/>
      <c r="Z213" s="7"/>
      <c r="AA213" s="7"/>
      <c r="AB213" s="7"/>
      <c r="AC213" s="7"/>
      <c r="AD213" s="7"/>
      <c r="AE213" s="7"/>
      <c r="AF213" s="7"/>
      <c r="AM213" s="56">
        <f t="shared" ref="AM213" si="409">SUMIFS($I$4:$W$4,I212:W212,"&gt;0")</f>
        <v>23</v>
      </c>
      <c r="AN213" s="47">
        <f t="shared" ref="AN213" si="410">(SUMIFS($I$4:$W$4,I212:W212,"&gt;0")-SUMIFS($I$4:$W$4,I213:W213,"F"))</f>
        <v>23</v>
      </c>
      <c r="AO213" s="56">
        <f t="shared" ref="AO213" si="411">SUMIFS($I$4:$W$4,I213:W213,"F")</f>
        <v>0</v>
      </c>
      <c r="AP213" s="76"/>
      <c r="AQ213" s="74"/>
      <c r="AR213" s="71"/>
    </row>
    <row r="214" spans="1:44" ht="15" thickTop="1" x14ac:dyDescent="0.3">
      <c r="A214" s="68">
        <v>105</v>
      </c>
      <c r="B214" s="70"/>
      <c r="C214" s="75"/>
      <c r="D214" s="84"/>
      <c r="E214" s="84"/>
      <c r="F214" s="84"/>
      <c r="G214" s="84"/>
      <c r="H214" s="85"/>
      <c r="I214" s="49">
        <v>56</v>
      </c>
      <c r="J214" s="49">
        <v>46</v>
      </c>
      <c r="K214" s="49">
        <v>47</v>
      </c>
      <c r="L214" s="49">
        <v>48</v>
      </c>
      <c r="M214" s="49">
        <v>49</v>
      </c>
      <c r="N214" s="49">
        <v>50</v>
      </c>
      <c r="O214" s="49">
        <v>51</v>
      </c>
      <c r="P214" s="49">
        <v>52</v>
      </c>
      <c r="Q214" s="49">
        <v>53</v>
      </c>
      <c r="R214" s="49">
        <v>54</v>
      </c>
      <c r="S214" s="49">
        <v>55</v>
      </c>
      <c r="T214" s="49">
        <v>56</v>
      </c>
      <c r="U214" s="49">
        <v>57</v>
      </c>
      <c r="V214" s="49">
        <v>58</v>
      </c>
      <c r="W214" s="49">
        <v>59</v>
      </c>
      <c r="X214" s="7"/>
      <c r="Y214" s="7"/>
      <c r="Z214" s="7"/>
      <c r="AA214" s="7"/>
      <c r="AB214" s="7"/>
      <c r="AC214" s="7"/>
      <c r="AD214" s="7"/>
      <c r="AE214" s="7"/>
      <c r="AF214" s="7"/>
      <c r="AM214" s="59"/>
      <c r="AN214" s="46"/>
      <c r="AO214" s="59"/>
      <c r="AP214" s="75" cm="1">
        <f t="array" ref="AP214">SUM(VLOOKUP(I215:W215,GRADEPOINT!$A$2:$B$7,2,0)*$I$4:$W$4)</f>
        <v>63</v>
      </c>
      <c r="AQ214" s="73">
        <f t="shared" ref="AQ214" si="412">ROUND(AP214/AM215,2)</f>
        <v>2.74</v>
      </c>
      <c r="AR214" s="72"/>
    </row>
    <row r="215" spans="1:44" ht="15" thickBot="1" x14ac:dyDescent="0.35">
      <c r="A215" s="69"/>
      <c r="B215" s="71"/>
      <c r="C215" s="86"/>
      <c r="D215" s="87"/>
      <c r="E215" s="87"/>
      <c r="F215" s="87"/>
      <c r="G215" s="87"/>
      <c r="H215" s="88"/>
      <c r="I215" s="51" t="str" cm="1">
        <f t="array" ref="I215">_xlfn.IFS(I214&gt;= 70,"A",I214&gt;=60,"B",I214&gt;=50,"C",I214&gt;=45,"D",I214&gt;=40,"E",I214&lt;40,"F")</f>
        <v>C</v>
      </c>
      <c r="J215" s="51" t="str" cm="1">
        <f t="array" ref="J215">_xlfn.IFS(J214&gt;= 70,"A",J214&gt;=60,"B",J214&gt;=50,"C",J214&gt;=45,"D",J214&gt;=40,"E",J214&lt;40,"F")</f>
        <v>D</v>
      </c>
      <c r="K215" s="51" t="str" cm="1">
        <f t="array" ref="K215">_xlfn.IFS(K214&gt;= 70,"A",K214&gt;=60,"B",K214&gt;=50,"C",K214&gt;=45,"D",K214&gt;=40,"E",K214&lt;40,"F")</f>
        <v>D</v>
      </c>
      <c r="L215" s="50" t="str" cm="1">
        <f t="array" ref="L215">_xlfn.IFS(L214&gt;= 70,"A",L214&gt;=60,"B",L214&gt;=50,"C",L214&gt;=45,"D",L214&gt;=40,"E",L214&lt;40,"F")</f>
        <v>D</v>
      </c>
      <c r="M215" s="51" t="str" cm="1">
        <f t="array" ref="M215">_xlfn.IFS(M214&gt;= 70,"A",M214&gt;=60,"B",M214&gt;=50,"C",M214&gt;=45,"D",M214&gt;=40,"E",M214&lt;40,"F")</f>
        <v>D</v>
      </c>
      <c r="N215" s="51" t="str" cm="1">
        <f t="array" ref="N215">_xlfn.IFS(N214&gt;= 70,"A",N214&gt;=60,"B",N214&gt;=50,"C",N214&gt;=45,"D",N214&gt;=40,"E",N214&lt;40,"F")</f>
        <v>C</v>
      </c>
      <c r="O215" s="51" t="str" cm="1">
        <f t="array" ref="O215">_xlfn.IFS(O214&gt;= 70,"A",O214&gt;=60,"B",O214&gt;=50,"C",O214&gt;=45,"D",O214&gt;=40,"E",O214&lt;40,"F")</f>
        <v>C</v>
      </c>
      <c r="P215" s="51" t="str" cm="1">
        <f t="array" ref="P215">_xlfn.IFS(P214&gt;= 70,"A",P214&gt;=60,"B",P214&gt;=50,"C",P214&gt;=45,"D",P214&gt;=40,"E",P214&lt;40,"F")</f>
        <v>C</v>
      </c>
      <c r="Q215" s="51" t="str" cm="1">
        <f t="array" ref="Q215">_xlfn.IFS(Q214&gt;= 70,"A",Q214&gt;=60,"B",Q214&gt;=50,"C",Q214&gt;=45,"D",Q214&gt;=40,"E",Q214&lt;40,"F")</f>
        <v>C</v>
      </c>
      <c r="R215" s="51" t="str" cm="1">
        <f t="array" ref="R215">_xlfn.IFS(R214&gt;= 70,"A",R214&gt;=60,"B",R214&gt;=50,"C",R214&gt;=45,"D",R214&gt;=40,"E",R214&lt;40,"F")</f>
        <v>C</v>
      </c>
      <c r="S215" s="51" t="str" cm="1">
        <f t="array" ref="S215">_xlfn.IFS(S214&gt;= 70,"A",S214&gt;=60,"B",S214&gt;=50,"C",S214&gt;=45,"D",S214&gt;=40,"E",S214&lt;40,"F")</f>
        <v>C</v>
      </c>
      <c r="T215" s="51" t="str" cm="1">
        <f t="array" ref="T215">_xlfn.IFS(T214&gt;= 70,"A",T214&gt;=60,"B",T214&gt;=50,"C",T214&gt;=45,"D",T214&gt;=40,"E",T214&lt;40,"F")</f>
        <v>C</v>
      </c>
      <c r="U215" s="51" t="str" cm="1">
        <f t="array" ref="U215">_xlfn.IFS(U214&gt;= 70,"A",U214&gt;=60,"B",U214&gt;=50,"C",U214&gt;=45,"D",U214&gt;=40,"E",U214&lt;40,"F")</f>
        <v>C</v>
      </c>
      <c r="V215" s="51" t="str" cm="1">
        <f t="array" ref="V215">_xlfn.IFS(V214&gt;= 70,"A",V214&gt;=60,"B",V214&gt;=50,"C",V214&gt;=45,"D",V214&gt;=40,"E",V214&lt;40,"F")</f>
        <v>C</v>
      </c>
      <c r="W215" s="50" t="str" cm="1">
        <f t="array" ref="W215">_xlfn.IFS(W214&gt;= 70,"A",W214&gt;=60,"B",W214&gt;=50,"C",W214&gt;=45,"D",W214&gt;=40,"E",W214&lt;40,"F")</f>
        <v>C</v>
      </c>
      <c r="X215" s="7"/>
      <c r="Y215" s="7"/>
      <c r="Z215" s="7"/>
      <c r="AA215" s="7"/>
      <c r="AB215" s="7"/>
      <c r="AC215" s="7"/>
      <c r="AD215" s="7"/>
      <c r="AE215" s="7"/>
      <c r="AF215" s="7"/>
      <c r="AM215" s="56">
        <f t="shared" ref="AM215" si="413">SUMIFS($I$4:$W$4,I214:W214,"&gt;0")</f>
        <v>23</v>
      </c>
      <c r="AN215" s="47">
        <f t="shared" ref="AN215" si="414">(SUMIFS($I$4:$W$4,I214:W214,"&gt;0")-SUMIFS($I$4:$W$4,I215:W215,"F"))</f>
        <v>23</v>
      </c>
      <c r="AO215" s="56">
        <f t="shared" ref="AO215" si="415">SUMIFS($I$4:$W$4,I215:W215,"F")</f>
        <v>0</v>
      </c>
      <c r="AP215" s="76"/>
      <c r="AQ215" s="74"/>
      <c r="AR215" s="71"/>
    </row>
    <row r="216" spans="1:44" ht="15" thickTop="1" x14ac:dyDescent="0.3">
      <c r="A216" s="68">
        <v>106</v>
      </c>
      <c r="B216" s="70"/>
      <c r="C216" s="75"/>
      <c r="D216" s="84"/>
      <c r="E216" s="84"/>
      <c r="F216" s="84"/>
      <c r="G216" s="84"/>
      <c r="H216" s="85"/>
      <c r="I216" s="49">
        <v>56</v>
      </c>
      <c r="J216" s="49">
        <v>46</v>
      </c>
      <c r="K216" s="49">
        <v>47</v>
      </c>
      <c r="L216" s="49">
        <v>48</v>
      </c>
      <c r="M216" s="49">
        <v>49</v>
      </c>
      <c r="N216" s="49">
        <v>50</v>
      </c>
      <c r="O216" s="49">
        <v>51</v>
      </c>
      <c r="P216" s="49">
        <v>52</v>
      </c>
      <c r="Q216" s="49">
        <v>53</v>
      </c>
      <c r="R216" s="49">
        <v>54</v>
      </c>
      <c r="S216" s="49">
        <v>55</v>
      </c>
      <c r="T216" s="49">
        <v>56</v>
      </c>
      <c r="U216" s="49">
        <v>57</v>
      </c>
      <c r="V216" s="49">
        <v>58</v>
      </c>
      <c r="W216" s="49">
        <v>59</v>
      </c>
      <c r="X216" s="7"/>
      <c r="Y216" s="7"/>
      <c r="Z216" s="7"/>
      <c r="AA216" s="7"/>
      <c r="AB216" s="7"/>
      <c r="AC216" s="7"/>
      <c r="AD216" s="7"/>
      <c r="AE216" s="7"/>
      <c r="AF216" s="7"/>
      <c r="AM216" s="59"/>
      <c r="AN216" s="46"/>
      <c r="AO216" s="59"/>
      <c r="AP216" s="75" cm="1">
        <f t="array" ref="AP216">SUM(VLOOKUP(I217:W217,GRADEPOINT!$A$2:$B$7,2,0)*$I$4:$W$4)</f>
        <v>63</v>
      </c>
      <c r="AQ216" s="73">
        <f t="shared" ref="AQ216" si="416">ROUND(AP216/AM217,2)</f>
        <v>2.74</v>
      </c>
      <c r="AR216" s="72"/>
    </row>
    <row r="217" spans="1:44" ht="15" thickBot="1" x14ac:dyDescent="0.35">
      <c r="A217" s="69"/>
      <c r="B217" s="71"/>
      <c r="C217" s="86"/>
      <c r="D217" s="87"/>
      <c r="E217" s="87"/>
      <c r="F217" s="87"/>
      <c r="G217" s="87"/>
      <c r="H217" s="88"/>
      <c r="I217" s="51" t="str" cm="1">
        <f t="array" ref="I217">_xlfn.IFS(I216&gt;= 70,"A",I216&gt;=60,"B",I216&gt;=50,"C",I216&gt;=45,"D",I216&gt;=40,"E",I216&lt;40,"F")</f>
        <v>C</v>
      </c>
      <c r="J217" s="51" t="str" cm="1">
        <f t="array" ref="J217">_xlfn.IFS(J216&gt;= 70,"A",J216&gt;=60,"B",J216&gt;=50,"C",J216&gt;=45,"D",J216&gt;=40,"E",J216&lt;40,"F")</f>
        <v>D</v>
      </c>
      <c r="K217" s="51" t="str" cm="1">
        <f t="array" ref="K217">_xlfn.IFS(K216&gt;= 70,"A",K216&gt;=60,"B",K216&gt;=50,"C",K216&gt;=45,"D",K216&gt;=40,"E",K216&lt;40,"F")</f>
        <v>D</v>
      </c>
      <c r="L217" s="50" t="str" cm="1">
        <f t="array" ref="L217">_xlfn.IFS(L216&gt;= 70,"A",L216&gt;=60,"B",L216&gt;=50,"C",L216&gt;=45,"D",L216&gt;=40,"E",L216&lt;40,"F")</f>
        <v>D</v>
      </c>
      <c r="M217" s="51" t="str" cm="1">
        <f t="array" ref="M217">_xlfn.IFS(M216&gt;= 70,"A",M216&gt;=60,"B",M216&gt;=50,"C",M216&gt;=45,"D",M216&gt;=40,"E",M216&lt;40,"F")</f>
        <v>D</v>
      </c>
      <c r="N217" s="51" t="str" cm="1">
        <f t="array" ref="N217">_xlfn.IFS(N216&gt;= 70,"A",N216&gt;=60,"B",N216&gt;=50,"C",N216&gt;=45,"D",N216&gt;=40,"E",N216&lt;40,"F")</f>
        <v>C</v>
      </c>
      <c r="O217" s="51" t="str" cm="1">
        <f t="array" ref="O217">_xlfn.IFS(O216&gt;= 70,"A",O216&gt;=60,"B",O216&gt;=50,"C",O216&gt;=45,"D",O216&gt;=40,"E",O216&lt;40,"F")</f>
        <v>C</v>
      </c>
      <c r="P217" s="51" t="str" cm="1">
        <f t="array" ref="P217">_xlfn.IFS(P216&gt;= 70,"A",P216&gt;=60,"B",P216&gt;=50,"C",P216&gt;=45,"D",P216&gt;=40,"E",P216&lt;40,"F")</f>
        <v>C</v>
      </c>
      <c r="Q217" s="51" t="str" cm="1">
        <f t="array" ref="Q217">_xlfn.IFS(Q216&gt;= 70,"A",Q216&gt;=60,"B",Q216&gt;=50,"C",Q216&gt;=45,"D",Q216&gt;=40,"E",Q216&lt;40,"F")</f>
        <v>C</v>
      </c>
      <c r="R217" s="51" t="str" cm="1">
        <f t="array" ref="R217">_xlfn.IFS(R216&gt;= 70,"A",R216&gt;=60,"B",R216&gt;=50,"C",R216&gt;=45,"D",R216&gt;=40,"E",R216&lt;40,"F")</f>
        <v>C</v>
      </c>
      <c r="S217" s="51" t="str" cm="1">
        <f t="array" ref="S217">_xlfn.IFS(S216&gt;= 70,"A",S216&gt;=60,"B",S216&gt;=50,"C",S216&gt;=45,"D",S216&gt;=40,"E",S216&lt;40,"F")</f>
        <v>C</v>
      </c>
      <c r="T217" s="51" t="str" cm="1">
        <f t="array" ref="T217">_xlfn.IFS(T216&gt;= 70,"A",T216&gt;=60,"B",T216&gt;=50,"C",T216&gt;=45,"D",T216&gt;=40,"E",T216&lt;40,"F")</f>
        <v>C</v>
      </c>
      <c r="U217" s="51" t="str" cm="1">
        <f t="array" ref="U217">_xlfn.IFS(U216&gt;= 70,"A",U216&gt;=60,"B",U216&gt;=50,"C",U216&gt;=45,"D",U216&gt;=40,"E",U216&lt;40,"F")</f>
        <v>C</v>
      </c>
      <c r="V217" s="51" t="str" cm="1">
        <f t="array" ref="V217">_xlfn.IFS(V216&gt;= 70,"A",V216&gt;=60,"B",V216&gt;=50,"C",V216&gt;=45,"D",V216&gt;=40,"E",V216&lt;40,"F")</f>
        <v>C</v>
      </c>
      <c r="W217" s="50" t="str" cm="1">
        <f t="array" ref="W217">_xlfn.IFS(W216&gt;= 70,"A",W216&gt;=60,"B",W216&gt;=50,"C",W216&gt;=45,"D",W216&gt;=40,"E",W216&lt;40,"F")</f>
        <v>C</v>
      </c>
      <c r="X217" s="7"/>
      <c r="Y217" s="7"/>
      <c r="Z217" s="7"/>
      <c r="AA217" s="7"/>
      <c r="AB217" s="7"/>
      <c r="AC217" s="7"/>
      <c r="AD217" s="7"/>
      <c r="AE217" s="7"/>
      <c r="AF217" s="7"/>
      <c r="AM217" s="56">
        <f t="shared" ref="AM217" si="417">SUMIFS($I$4:$W$4,I216:W216,"&gt;0")</f>
        <v>23</v>
      </c>
      <c r="AN217" s="47">
        <f t="shared" ref="AN217" si="418">(SUMIFS($I$4:$W$4,I216:W216,"&gt;0")-SUMIFS($I$4:$W$4,I217:W217,"F"))</f>
        <v>23</v>
      </c>
      <c r="AO217" s="56">
        <f t="shared" ref="AO217" si="419">SUMIFS($I$4:$W$4,I217:W217,"F")</f>
        <v>0</v>
      </c>
      <c r="AP217" s="76"/>
      <c r="AQ217" s="74"/>
      <c r="AR217" s="71"/>
    </row>
    <row r="218" spans="1:44" ht="15" thickTop="1" x14ac:dyDescent="0.3">
      <c r="A218" s="68">
        <v>107</v>
      </c>
      <c r="B218" s="70"/>
      <c r="C218" s="75"/>
      <c r="D218" s="84"/>
      <c r="E218" s="84"/>
      <c r="F218" s="84"/>
      <c r="G218" s="84"/>
      <c r="H218" s="85"/>
      <c r="I218" s="49">
        <v>56</v>
      </c>
      <c r="J218" s="49">
        <v>46</v>
      </c>
      <c r="K218" s="49">
        <v>47</v>
      </c>
      <c r="L218" s="49">
        <v>48</v>
      </c>
      <c r="M218" s="49">
        <v>49</v>
      </c>
      <c r="N218" s="49">
        <v>50</v>
      </c>
      <c r="O218" s="49">
        <v>51</v>
      </c>
      <c r="P218" s="49">
        <v>52</v>
      </c>
      <c r="Q218" s="49">
        <v>53</v>
      </c>
      <c r="R218" s="49">
        <v>54</v>
      </c>
      <c r="S218" s="49">
        <v>55</v>
      </c>
      <c r="T218" s="49">
        <v>56</v>
      </c>
      <c r="U218" s="49">
        <v>57</v>
      </c>
      <c r="V218" s="49">
        <v>58</v>
      </c>
      <c r="W218" s="49">
        <v>59</v>
      </c>
      <c r="X218" s="7"/>
      <c r="Y218" s="7"/>
      <c r="Z218" s="7"/>
      <c r="AA218" s="7"/>
      <c r="AB218" s="7"/>
      <c r="AC218" s="7"/>
      <c r="AD218" s="7"/>
      <c r="AE218" s="7"/>
      <c r="AF218" s="7"/>
      <c r="AM218" s="59"/>
      <c r="AN218" s="46"/>
      <c r="AO218" s="59"/>
      <c r="AP218" s="75" cm="1">
        <f t="array" ref="AP218">SUM(VLOOKUP(I219:W219,GRADEPOINT!$A$2:$B$7,2,0)*$I$4:$W$4)</f>
        <v>63</v>
      </c>
      <c r="AQ218" s="73">
        <f t="shared" ref="AQ218" si="420">ROUND(AP218/AM219,2)</f>
        <v>2.74</v>
      </c>
      <c r="AR218" s="72"/>
    </row>
    <row r="219" spans="1:44" ht="15" thickBot="1" x14ac:dyDescent="0.35">
      <c r="A219" s="69"/>
      <c r="B219" s="71"/>
      <c r="C219" s="86"/>
      <c r="D219" s="87"/>
      <c r="E219" s="87"/>
      <c r="F219" s="87"/>
      <c r="G219" s="87"/>
      <c r="H219" s="88"/>
      <c r="I219" s="51" t="str" cm="1">
        <f t="array" ref="I219">_xlfn.IFS(I218&gt;= 70,"A",I218&gt;=60,"B",I218&gt;=50,"C",I218&gt;=45,"D",I218&gt;=40,"E",I218&lt;40,"F")</f>
        <v>C</v>
      </c>
      <c r="J219" s="51" t="str" cm="1">
        <f t="array" ref="J219">_xlfn.IFS(J218&gt;= 70,"A",J218&gt;=60,"B",J218&gt;=50,"C",J218&gt;=45,"D",J218&gt;=40,"E",J218&lt;40,"F")</f>
        <v>D</v>
      </c>
      <c r="K219" s="51" t="str" cm="1">
        <f t="array" ref="K219">_xlfn.IFS(K218&gt;= 70,"A",K218&gt;=60,"B",K218&gt;=50,"C",K218&gt;=45,"D",K218&gt;=40,"E",K218&lt;40,"F")</f>
        <v>D</v>
      </c>
      <c r="L219" s="50" t="str" cm="1">
        <f t="array" ref="L219">_xlfn.IFS(L218&gt;= 70,"A",L218&gt;=60,"B",L218&gt;=50,"C",L218&gt;=45,"D",L218&gt;=40,"E",L218&lt;40,"F")</f>
        <v>D</v>
      </c>
      <c r="M219" s="51" t="str" cm="1">
        <f t="array" ref="M219">_xlfn.IFS(M218&gt;= 70,"A",M218&gt;=60,"B",M218&gt;=50,"C",M218&gt;=45,"D",M218&gt;=40,"E",M218&lt;40,"F")</f>
        <v>D</v>
      </c>
      <c r="N219" s="51" t="str" cm="1">
        <f t="array" ref="N219">_xlfn.IFS(N218&gt;= 70,"A",N218&gt;=60,"B",N218&gt;=50,"C",N218&gt;=45,"D",N218&gt;=40,"E",N218&lt;40,"F")</f>
        <v>C</v>
      </c>
      <c r="O219" s="51" t="str" cm="1">
        <f t="array" ref="O219">_xlfn.IFS(O218&gt;= 70,"A",O218&gt;=60,"B",O218&gt;=50,"C",O218&gt;=45,"D",O218&gt;=40,"E",O218&lt;40,"F")</f>
        <v>C</v>
      </c>
      <c r="P219" s="51" t="str" cm="1">
        <f t="array" ref="P219">_xlfn.IFS(P218&gt;= 70,"A",P218&gt;=60,"B",P218&gt;=50,"C",P218&gt;=45,"D",P218&gt;=40,"E",P218&lt;40,"F")</f>
        <v>C</v>
      </c>
      <c r="Q219" s="51" t="str" cm="1">
        <f t="array" ref="Q219">_xlfn.IFS(Q218&gt;= 70,"A",Q218&gt;=60,"B",Q218&gt;=50,"C",Q218&gt;=45,"D",Q218&gt;=40,"E",Q218&lt;40,"F")</f>
        <v>C</v>
      </c>
      <c r="R219" s="51" t="str" cm="1">
        <f t="array" ref="R219">_xlfn.IFS(R218&gt;= 70,"A",R218&gt;=60,"B",R218&gt;=50,"C",R218&gt;=45,"D",R218&gt;=40,"E",R218&lt;40,"F")</f>
        <v>C</v>
      </c>
      <c r="S219" s="51" t="str" cm="1">
        <f t="array" ref="S219">_xlfn.IFS(S218&gt;= 70,"A",S218&gt;=60,"B",S218&gt;=50,"C",S218&gt;=45,"D",S218&gt;=40,"E",S218&lt;40,"F")</f>
        <v>C</v>
      </c>
      <c r="T219" s="51" t="str" cm="1">
        <f t="array" ref="T219">_xlfn.IFS(T218&gt;= 70,"A",T218&gt;=60,"B",T218&gt;=50,"C",T218&gt;=45,"D",T218&gt;=40,"E",T218&lt;40,"F")</f>
        <v>C</v>
      </c>
      <c r="U219" s="51" t="str" cm="1">
        <f t="array" ref="U219">_xlfn.IFS(U218&gt;= 70,"A",U218&gt;=60,"B",U218&gt;=50,"C",U218&gt;=45,"D",U218&gt;=40,"E",U218&lt;40,"F")</f>
        <v>C</v>
      </c>
      <c r="V219" s="51" t="str" cm="1">
        <f t="array" ref="V219">_xlfn.IFS(V218&gt;= 70,"A",V218&gt;=60,"B",V218&gt;=50,"C",V218&gt;=45,"D",V218&gt;=40,"E",V218&lt;40,"F")</f>
        <v>C</v>
      </c>
      <c r="W219" s="50" t="str" cm="1">
        <f t="array" ref="W219">_xlfn.IFS(W218&gt;= 70,"A",W218&gt;=60,"B",W218&gt;=50,"C",W218&gt;=45,"D",W218&gt;=40,"E",W218&lt;40,"F")</f>
        <v>C</v>
      </c>
      <c r="X219" s="7"/>
      <c r="Y219" s="7"/>
      <c r="Z219" s="7"/>
      <c r="AA219" s="7"/>
      <c r="AB219" s="7"/>
      <c r="AC219" s="7"/>
      <c r="AD219" s="7"/>
      <c r="AE219" s="7"/>
      <c r="AF219" s="7"/>
      <c r="AM219" s="56">
        <f t="shared" ref="AM219" si="421">SUMIFS($I$4:$W$4,I218:W218,"&gt;0")</f>
        <v>23</v>
      </c>
      <c r="AN219" s="47">
        <f t="shared" ref="AN219" si="422">(SUMIFS($I$4:$W$4,I218:W218,"&gt;0")-SUMIFS($I$4:$W$4,I219:W219,"F"))</f>
        <v>23</v>
      </c>
      <c r="AO219" s="56">
        <f t="shared" ref="AO219" si="423">SUMIFS($I$4:$W$4,I219:W219,"F")</f>
        <v>0</v>
      </c>
      <c r="AP219" s="76"/>
      <c r="AQ219" s="74"/>
      <c r="AR219" s="71"/>
    </row>
    <row r="220" spans="1:44" ht="15" thickTop="1" x14ac:dyDescent="0.3">
      <c r="A220" s="68">
        <v>108</v>
      </c>
      <c r="B220" s="70"/>
      <c r="C220" s="75"/>
      <c r="D220" s="84"/>
      <c r="E220" s="84"/>
      <c r="F220" s="84"/>
      <c r="G220" s="84"/>
      <c r="H220" s="85"/>
      <c r="I220" s="49">
        <v>56</v>
      </c>
      <c r="J220" s="49">
        <v>46</v>
      </c>
      <c r="K220" s="49">
        <v>47</v>
      </c>
      <c r="L220" s="49">
        <v>48</v>
      </c>
      <c r="M220" s="49">
        <v>49</v>
      </c>
      <c r="N220" s="49">
        <v>50</v>
      </c>
      <c r="O220" s="49">
        <v>51</v>
      </c>
      <c r="P220" s="49">
        <v>52</v>
      </c>
      <c r="Q220" s="49">
        <v>53</v>
      </c>
      <c r="R220" s="49">
        <v>54</v>
      </c>
      <c r="S220" s="49">
        <v>55</v>
      </c>
      <c r="T220" s="49">
        <v>56</v>
      </c>
      <c r="U220" s="49">
        <v>57</v>
      </c>
      <c r="V220" s="49">
        <v>58</v>
      </c>
      <c r="W220" s="49">
        <v>59</v>
      </c>
      <c r="X220" s="7"/>
      <c r="Y220" s="7"/>
      <c r="Z220" s="7"/>
      <c r="AA220" s="7"/>
      <c r="AB220" s="7"/>
      <c r="AC220" s="7"/>
      <c r="AD220" s="7"/>
      <c r="AE220" s="7"/>
      <c r="AF220" s="7"/>
      <c r="AM220" s="59"/>
      <c r="AN220" s="46"/>
      <c r="AO220" s="59"/>
      <c r="AP220" s="75" cm="1">
        <f t="array" ref="AP220">SUM(VLOOKUP(I221:W221,GRADEPOINT!$A$2:$B$7,2,0)*$I$4:$W$4)</f>
        <v>63</v>
      </c>
      <c r="AQ220" s="73">
        <f t="shared" ref="AQ220" si="424">ROUND(AP220/AM221,2)</f>
        <v>2.74</v>
      </c>
      <c r="AR220" s="72"/>
    </row>
    <row r="221" spans="1:44" ht="15" thickBot="1" x14ac:dyDescent="0.35">
      <c r="A221" s="69"/>
      <c r="B221" s="71"/>
      <c r="C221" s="86"/>
      <c r="D221" s="87"/>
      <c r="E221" s="87"/>
      <c r="F221" s="87"/>
      <c r="G221" s="87"/>
      <c r="H221" s="88"/>
      <c r="I221" s="51" t="str" cm="1">
        <f t="array" ref="I221">_xlfn.IFS(I220&gt;= 70,"A",I220&gt;=60,"B",I220&gt;=50,"C",I220&gt;=45,"D",I220&gt;=40,"E",I220&lt;40,"F")</f>
        <v>C</v>
      </c>
      <c r="J221" s="51" t="str" cm="1">
        <f t="array" ref="J221">_xlfn.IFS(J220&gt;= 70,"A",J220&gt;=60,"B",J220&gt;=50,"C",J220&gt;=45,"D",J220&gt;=40,"E",J220&lt;40,"F")</f>
        <v>D</v>
      </c>
      <c r="K221" s="51" t="str" cm="1">
        <f t="array" ref="K221">_xlfn.IFS(K220&gt;= 70,"A",K220&gt;=60,"B",K220&gt;=50,"C",K220&gt;=45,"D",K220&gt;=40,"E",K220&lt;40,"F")</f>
        <v>D</v>
      </c>
      <c r="L221" s="50" t="str" cm="1">
        <f t="array" ref="L221">_xlfn.IFS(L220&gt;= 70,"A",L220&gt;=60,"B",L220&gt;=50,"C",L220&gt;=45,"D",L220&gt;=40,"E",L220&lt;40,"F")</f>
        <v>D</v>
      </c>
      <c r="M221" s="51" t="str" cm="1">
        <f t="array" ref="M221">_xlfn.IFS(M220&gt;= 70,"A",M220&gt;=60,"B",M220&gt;=50,"C",M220&gt;=45,"D",M220&gt;=40,"E",M220&lt;40,"F")</f>
        <v>D</v>
      </c>
      <c r="N221" s="51" t="str" cm="1">
        <f t="array" ref="N221">_xlfn.IFS(N220&gt;= 70,"A",N220&gt;=60,"B",N220&gt;=50,"C",N220&gt;=45,"D",N220&gt;=40,"E",N220&lt;40,"F")</f>
        <v>C</v>
      </c>
      <c r="O221" s="51" t="str" cm="1">
        <f t="array" ref="O221">_xlfn.IFS(O220&gt;= 70,"A",O220&gt;=60,"B",O220&gt;=50,"C",O220&gt;=45,"D",O220&gt;=40,"E",O220&lt;40,"F")</f>
        <v>C</v>
      </c>
      <c r="P221" s="51" t="str" cm="1">
        <f t="array" ref="P221">_xlfn.IFS(P220&gt;= 70,"A",P220&gt;=60,"B",P220&gt;=50,"C",P220&gt;=45,"D",P220&gt;=40,"E",P220&lt;40,"F")</f>
        <v>C</v>
      </c>
      <c r="Q221" s="51" t="str" cm="1">
        <f t="array" ref="Q221">_xlfn.IFS(Q220&gt;= 70,"A",Q220&gt;=60,"B",Q220&gt;=50,"C",Q220&gt;=45,"D",Q220&gt;=40,"E",Q220&lt;40,"F")</f>
        <v>C</v>
      </c>
      <c r="R221" s="51" t="str" cm="1">
        <f t="array" ref="R221">_xlfn.IFS(R220&gt;= 70,"A",R220&gt;=60,"B",R220&gt;=50,"C",R220&gt;=45,"D",R220&gt;=40,"E",R220&lt;40,"F")</f>
        <v>C</v>
      </c>
      <c r="S221" s="51" t="str" cm="1">
        <f t="array" ref="S221">_xlfn.IFS(S220&gt;= 70,"A",S220&gt;=60,"B",S220&gt;=50,"C",S220&gt;=45,"D",S220&gt;=40,"E",S220&lt;40,"F")</f>
        <v>C</v>
      </c>
      <c r="T221" s="51" t="str" cm="1">
        <f t="array" ref="T221">_xlfn.IFS(T220&gt;= 70,"A",T220&gt;=60,"B",T220&gt;=50,"C",T220&gt;=45,"D",T220&gt;=40,"E",T220&lt;40,"F")</f>
        <v>C</v>
      </c>
      <c r="U221" s="51" t="str" cm="1">
        <f t="array" ref="U221">_xlfn.IFS(U220&gt;= 70,"A",U220&gt;=60,"B",U220&gt;=50,"C",U220&gt;=45,"D",U220&gt;=40,"E",U220&lt;40,"F")</f>
        <v>C</v>
      </c>
      <c r="V221" s="51" t="str" cm="1">
        <f t="array" ref="V221">_xlfn.IFS(V220&gt;= 70,"A",V220&gt;=60,"B",V220&gt;=50,"C",V220&gt;=45,"D",V220&gt;=40,"E",V220&lt;40,"F")</f>
        <v>C</v>
      </c>
      <c r="W221" s="50" t="str" cm="1">
        <f t="array" ref="W221">_xlfn.IFS(W220&gt;= 70,"A",W220&gt;=60,"B",W220&gt;=50,"C",W220&gt;=45,"D",W220&gt;=40,"E",W220&lt;40,"F")</f>
        <v>C</v>
      </c>
      <c r="X221" s="7"/>
      <c r="Y221" s="7"/>
      <c r="Z221" s="7"/>
      <c r="AA221" s="7"/>
      <c r="AB221" s="7"/>
      <c r="AC221" s="7"/>
      <c r="AD221" s="7"/>
      <c r="AE221" s="7"/>
      <c r="AF221" s="7"/>
      <c r="AM221" s="56">
        <f t="shared" ref="AM221" si="425">SUMIFS($I$4:$W$4,I220:W220,"&gt;0")</f>
        <v>23</v>
      </c>
      <c r="AN221" s="47">
        <f t="shared" ref="AN221" si="426">(SUMIFS($I$4:$W$4,I220:W220,"&gt;0")-SUMIFS($I$4:$W$4,I221:W221,"F"))</f>
        <v>23</v>
      </c>
      <c r="AO221" s="56">
        <f t="shared" ref="AO221" si="427">SUMIFS($I$4:$W$4,I221:W221,"F")</f>
        <v>0</v>
      </c>
      <c r="AP221" s="76"/>
      <c r="AQ221" s="74"/>
      <c r="AR221" s="71"/>
    </row>
    <row r="222" spans="1:44" ht="15" thickTop="1" x14ac:dyDescent="0.3">
      <c r="A222" s="68">
        <v>109</v>
      </c>
      <c r="B222" s="70"/>
      <c r="C222" s="75"/>
      <c r="D222" s="84"/>
      <c r="E222" s="84"/>
      <c r="F222" s="84"/>
      <c r="G222" s="84"/>
      <c r="H222" s="85"/>
      <c r="I222" s="49">
        <v>56</v>
      </c>
      <c r="J222" s="49">
        <v>46</v>
      </c>
      <c r="K222" s="49">
        <v>47</v>
      </c>
      <c r="L222" s="49">
        <v>48</v>
      </c>
      <c r="M222" s="49">
        <v>49</v>
      </c>
      <c r="N222" s="49">
        <v>50</v>
      </c>
      <c r="O222" s="49">
        <v>51</v>
      </c>
      <c r="P222" s="49">
        <v>52</v>
      </c>
      <c r="Q222" s="49">
        <v>53</v>
      </c>
      <c r="R222" s="49">
        <v>54</v>
      </c>
      <c r="S222" s="49">
        <v>55</v>
      </c>
      <c r="T222" s="49">
        <v>56</v>
      </c>
      <c r="U222" s="49">
        <v>57</v>
      </c>
      <c r="V222" s="49">
        <v>58</v>
      </c>
      <c r="W222" s="49">
        <v>59</v>
      </c>
      <c r="X222" s="7"/>
      <c r="Y222" s="7"/>
      <c r="Z222" s="7"/>
      <c r="AA222" s="7"/>
      <c r="AB222" s="7"/>
      <c r="AC222" s="7"/>
      <c r="AD222" s="7"/>
      <c r="AE222" s="7"/>
      <c r="AF222" s="7"/>
      <c r="AM222" s="59"/>
      <c r="AN222" s="46"/>
      <c r="AO222" s="59"/>
      <c r="AP222" s="75" cm="1">
        <f t="array" ref="AP222">SUM(VLOOKUP(I223:W223,GRADEPOINT!$A$2:$B$7,2,0)*$I$4:$W$4)</f>
        <v>63</v>
      </c>
      <c r="AQ222" s="73">
        <f t="shared" ref="AQ222" si="428">ROUND(AP222/AM223,2)</f>
        <v>2.74</v>
      </c>
      <c r="AR222" s="72"/>
    </row>
    <row r="223" spans="1:44" ht="15" thickBot="1" x14ac:dyDescent="0.35">
      <c r="A223" s="69"/>
      <c r="B223" s="71"/>
      <c r="C223" s="86"/>
      <c r="D223" s="87"/>
      <c r="E223" s="87"/>
      <c r="F223" s="87"/>
      <c r="G223" s="87"/>
      <c r="H223" s="88"/>
      <c r="I223" s="51" t="str" cm="1">
        <f t="array" ref="I223">_xlfn.IFS(I222&gt;= 70,"A",I222&gt;=60,"B",I222&gt;=50,"C",I222&gt;=45,"D",I222&gt;=40,"E",I222&lt;40,"F")</f>
        <v>C</v>
      </c>
      <c r="J223" s="51" t="str" cm="1">
        <f t="array" ref="J223">_xlfn.IFS(J222&gt;= 70,"A",J222&gt;=60,"B",J222&gt;=50,"C",J222&gt;=45,"D",J222&gt;=40,"E",J222&lt;40,"F")</f>
        <v>D</v>
      </c>
      <c r="K223" s="51" t="str" cm="1">
        <f t="array" ref="K223">_xlfn.IFS(K222&gt;= 70,"A",K222&gt;=60,"B",K222&gt;=50,"C",K222&gt;=45,"D",K222&gt;=40,"E",K222&lt;40,"F")</f>
        <v>D</v>
      </c>
      <c r="L223" s="50" t="str" cm="1">
        <f t="array" ref="L223">_xlfn.IFS(L222&gt;= 70,"A",L222&gt;=60,"B",L222&gt;=50,"C",L222&gt;=45,"D",L222&gt;=40,"E",L222&lt;40,"F")</f>
        <v>D</v>
      </c>
      <c r="M223" s="51" t="str" cm="1">
        <f t="array" ref="M223">_xlfn.IFS(M222&gt;= 70,"A",M222&gt;=60,"B",M222&gt;=50,"C",M222&gt;=45,"D",M222&gt;=40,"E",M222&lt;40,"F")</f>
        <v>D</v>
      </c>
      <c r="N223" s="51" t="str" cm="1">
        <f t="array" ref="N223">_xlfn.IFS(N222&gt;= 70,"A",N222&gt;=60,"B",N222&gt;=50,"C",N222&gt;=45,"D",N222&gt;=40,"E",N222&lt;40,"F")</f>
        <v>C</v>
      </c>
      <c r="O223" s="51" t="str" cm="1">
        <f t="array" ref="O223">_xlfn.IFS(O222&gt;= 70,"A",O222&gt;=60,"B",O222&gt;=50,"C",O222&gt;=45,"D",O222&gt;=40,"E",O222&lt;40,"F")</f>
        <v>C</v>
      </c>
      <c r="P223" s="51" t="str" cm="1">
        <f t="array" ref="P223">_xlfn.IFS(P222&gt;= 70,"A",P222&gt;=60,"B",P222&gt;=50,"C",P222&gt;=45,"D",P222&gt;=40,"E",P222&lt;40,"F")</f>
        <v>C</v>
      </c>
      <c r="Q223" s="51" t="str" cm="1">
        <f t="array" ref="Q223">_xlfn.IFS(Q222&gt;= 70,"A",Q222&gt;=60,"B",Q222&gt;=50,"C",Q222&gt;=45,"D",Q222&gt;=40,"E",Q222&lt;40,"F")</f>
        <v>C</v>
      </c>
      <c r="R223" s="51" t="str" cm="1">
        <f t="array" ref="R223">_xlfn.IFS(R222&gt;= 70,"A",R222&gt;=60,"B",R222&gt;=50,"C",R222&gt;=45,"D",R222&gt;=40,"E",R222&lt;40,"F")</f>
        <v>C</v>
      </c>
      <c r="S223" s="51" t="str" cm="1">
        <f t="array" ref="S223">_xlfn.IFS(S222&gt;= 70,"A",S222&gt;=60,"B",S222&gt;=50,"C",S222&gt;=45,"D",S222&gt;=40,"E",S222&lt;40,"F")</f>
        <v>C</v>
      </c>
      <c r="T223" s="51" t="str" cm="1">
        <f t="array" ref="T223">_xlfn.IFS(T222&gt;= 70,"A",T222&gt;=60,"B",T222&gt;=50,"C",T222&gt;=45,"D",T222&gt;=40,"E",T222&lt;40,"F")</f>
        <v>C</v>
      </c>
      <c r="U223" s="51" t="str" cm="1">
        <f t="array" ref="U223">_xlfn.IFS(U222&gt;= 70,"A",U222&gt;=60,"B",U222&gt;=50,"C",U222&gt;=45,"D",U222&gt;=40,"E",U222&lt;40,"F")</f>
        <v>C</v>
      </c>
      <c r="V223" s="51" t="str" cm="1">
        <f t="array" ref="V223">_xlfn.IFS(V222&gt;= 70,"A",V222&gt;=60,"B",V222&gt;=50,"C",V222&gt;=45,"D",V222&gt;=40,"E",V222&lt;40,"F")</f>
        <v>C</v>
      </c>
      <c r="W223" s="50" t="str" cm="1">
        <f t="array" ref="W223">_xlfn.IFS(W222&gt;= 70,"A",W222&gt;=60,"B",W222&gt;=50,"C",W222&gt;=45,"D",W222&gt;=40,"E",W222&lt;40,"F")</f>
        <v>C</v>
      </c>
      <c r="X223" s="7"/>
      <c r="Y223" s="7"/>
      <c r="Z223" s="7"/>
      <c r="AA223" s="7"/>
      <c r="AB223" s="7"/>
      <c r="AC223" s="7"/>
      <c r="AD223" s="7"/>
      <c r="AE223" s="7"/>
      <c r="AF223" s="7"/>
      <c r="AM223" s="56">
        <f t="shared" ref="AM223" si="429">SUMIFS($I$4:$W$4,I222:W222,"&gt;0")</f>
        <v>23</v>
      </c>
      <c r="AN223" s="47">
        <f t="shared" ref="AN223" si="430">(SUMIFS($I$4:$W$4,I222:W222,"&gt;0")-SUMIFS($I$4:$W$4,I223:W223,"F"))</f>
        <v>23</v>
      </c>
      <c r="AO223" s="56">
        <f t="shared" ref="AO223" si="431">SUMIFS($I$4:$W$4,I223:W223,"F")</f>
        <v>0</v>
      </c>
      <c r="AP223" s="76"/>
      <c r="AQ223" s="74"/>
      <c r="AR223" s="71"/>
    </row>
    <row r="224" spans="1:44" ht="15" thickTop="1" x14ac:dyDescent="0.3">
      <c r="A224" s="68">
        <v>110</v>
      </c>
      <c r="B224" s="70"/>
      <c r="C224" s="75"/>
      <c r="D224" s="84"/>
      <c r="E224" s="84"/>
      <c r="F224" s="84"/>
      <c r="G224" s="84"/>
      <c r="H224" s="85"/>
      <c r="I224" s="49">
        <v>56</v>
      </c>
      <c r="J224" s="49">
        <v>46</v>
      </c>
      <c r="K224" s="49">
        <v>47</v>
      </c>
      <c r="L224" s="49">
        <v>48</v>
      </c>
      <c r="M224" s="49">
        <v>49</v>
      </c>
      <c r="N224" s="49">
        <v>50</v>
      </c>
      <c r="O224" s="49">
        <v>51</v>
      </c>
      <c r="P224" s="49">
        <v>52</v>
      </c>
      <c r="Q224" s="49">
        <v>53</v>
      </c>
      <c r="R224" s="49">
        <v>54</v>
      </c>
      <c r="S224" s="49">
        <v>55</v>
      </c>
      <c r="T224" s="49">
        <v>56</v>
      </c>
      <c r="U224" s="49">
        <v>57</v>
      </c>
      <c r="V224" s="49">
        <v>58</v>
      </c>
      <c r="W224" s="49">
        <v>59</v>
      </c>
      <c r="X224" s="7"/>
      <c r="Y224" s="7"/>
      <c r="Z224" s="7"/>
      <c r="AA224" s="7"/>
      <c r="AB224" s="7"/>
      <c r="AC224" s="7"/>
      <c r="AD224" s="7"/>
      <c r="AE224" s="7"/>
      <c r="AF224" s="7"/>
      <c r="AM224" s="59"/>
      <c r="AN224" s="46"/>
      <c r="AO224" s="59"/>
      <c r="AP224" s="75" cm="1">
        <f t="array" ref="AP224">SUM(VLOOKUP(I225:W225,GRADEPOINT!$A$2:$B$7,2,0)*$I$4:$W$4)</f>
        <v>63</v>
      </c>
      <c r="AQ224" s="73">
        <f t="shared" ref="AQ224" si="432">ROUND(AP224/AM225,2)</f>
        <v>2.74</v>
      </c>
      <c r="AR224" s="72"/>
    </row>
    <row r="225" spans="1:44" ht="15" thickBot="1" x14ac:dyDescent="0.35">
      <c r="A225" s="69"/>
      <c r="B225" s="71"/>
      <c r="C225" s="86"/>
      <c r="D225" s="87"/>
      <c r="E225" s="87"/>
      <c r="F225" s="87"/>
      <c r="G225" s="87"/>
      <c r="H225" s="88"/>
      <c r="I225" s="51" t="str" cm="1">
        <f t="array" ref="I225">_xlfn.IFS(I224&gt;= 70,"A",I224&gt;=60,"B",I224&gt;=50,"C",I224&gt;=45,"D",I224&gt;=40,"E",I224&lt;40,"F")</f>
        <v>C</v>
      </c>
      <c r="J225" s="51" t="str" cm="1">
        <f t="array" ref="J225">_xlfn.IFS(J224&gt;= 70,"A",J224&gt;=60,"B",J224&gt;=50,"C",J224&gt;=45,"D",J224&gt;=40,"E",J224&lt;40,"F")</f>
        <v>D</v>
      </c>
      <c r="K225" s="51" t="str" cm="1">
        <f t="array" ref="K225">_xlfn.IFS(K224&gt;= 70,"A",K224&gt;=60,"B",K224&gt;=50,"C",K224&gt;=45,"D",K224&gt;=40,"E",K224&lt;40,"F")</f>
        <v>D</v>
      </c>
      <c r="L225" s="50" t="str" cm="1">
        <f t="array" ref="L225">_xlfn.IFS(L224&gt;= 70,"A",L224&gt;=60,"B",L224&gt;=50,"C",L224&gt;=45,"D",L224&gt;=40,"E",L224&lt;40,"F")</f>
        <v>D</v>
      </c>
      <c r="M225" s="51" t="str" cm="1">
        <f t="array" ref="M225">_xlfn.IFS(M224&gt;= 70,"A",M224&gt;=60,"B",M224&gt;=50,"C",M224&gt;=45,"D",M224&gt;=40,"E",M224&lt;40,"F")</f>
        <v>D</v>
      </c>
      <c r="N225" s="51" t="str" cm="1">
        <f t="array" ref="N225">_xlfn.IFS(N224&gt;= 70,"A",N224&gt;=60,"B",N224&gt;=50,"C",N224&gt;=45,"D",N224&gt;=40,"E",N224&lt;40,"F")</f>
        <v>C</v>
      </c>
      <c r="O225" s="51" t="str" cm="1">
        <f t="array" ref="O225">_xlfn.IFS(O224&gt;= 70,"A",O224&gt;=60,"B",O224&gt;=50,"C",O224&gt;=45,"D",O224&gt;=40,"E",O224&lt;40,"F")</f>
        <v>C</v>
      </c>
      <c r="P225" s="51" t="str" cm="1">
        <f t="array" ref="P225">_xlfn.IFS(P224&gt;= 70,"A",P224&gt;=60,"B",P224&gt;=50,"C",P224&gt;=45,"D",P224&gt;=40,"E",P224&lt;40,"F")</f>
        <v>C</v>
      </c>
      <c r="Q225" s="51" t="str" cm="1">
        <f t="array" ref="Q225">_xlfn.IFS(Q224&gt;= 70,"A",Q224&gt;=60,"B",Q224&gt;=50,"C",Q224&gt;=45,"D",Q224&gt;=40,"E",Q224&lt;40,"F")</f>
        <v>C</v>
      </c>
      <c r="R225" s="51" t="str" cm="1">
        <f t="array" ref="R225">_xlfn.IFS(R224&gt;= 70,"A",R224&gt;=60,"B",R224&gt;=50,"C",R224&gt;=45,"D",R224&gt;=40,"E",R224&lt;40,"F")</f>
        <v>C</v>
      </c>
      <c r="S225" s="51" t="str" cm="1">
        <f t="array" ref="S225">_xlfn.IFS(S224&gt;= 70,"A",S224&gt;=60,"B",S224&gt;=50,"C",S224&gt;=45,"D",S224&gt;=40,"E",S224&lt;40,"F")</f>
        <v>C</v>
      </c>
      <c r="T225" s="51" t="str" cm="1">
        <f t="array" ref="T225">_xlfn.IFS(T224&gt;= 70,"A",T224&gt;=60,"B",T224&gt;=50,"C",T224&gt;=45,"D",T224&gt;=40,"E",T224&lt;40,"F")</f>
        <v>C</v>
      </c>
      <c r="U225" s="51" t="str" cm="1">
        <f t="array" ref="U225">_xlfn.IFS(U224&gt;= 70,"A",U224&gt;=60,"B",U224&gt;=50,"C",U224&gt;=45,"D",U224&gt;=40,"E",U224&lt;40,"F")</f>
        <v>C</v>
      </c>
      <c r="V225" s="51" t="str" cm="1">
        <f t="array" ref="V225">_xlfn.IFS(V224&gt;= 70,"A",V224&gt;=60,"B",V224&gt;=50,"C",V224&gt;=45,"D",V224&gt;=40,"E",V224&lt;40,"F")</f>
        <v>C</v>
      </c>
      <c r="W225" s="50" t="str" cm="1">
        <f t="array" ref="W225">_xlfn.IFS(W224&gt;= 70,"A",W224&gt;=60,"B",W224&gt;=50,"C",W224&gt;=45,"D",W224&gt;=40,"E",W224&lt;40,"F")</f>
        <v>C</v>
      </c>
      <c r="X225" s="7"/>
      <c r="Y225" s="7"/>
      <c r="Z225" s="7"/>
      <c r="AA225" s="7"/>
      <c r="AB225" s="7"/>
      <c r="AC225" s="7"/>
      <c r="AD225" s="7"/>
      <c r="AE225" s="7"/>
      <c r="AF225" s="7"/>
      <c r="AM225" s="56">
        <f t="shared" ref="AM225" si="433">SUMIFS($I$4:$W$4,I224:W224,"&gt;0")</f>
        <v>23</v>
      </c>
      <c r="AN225" s="47">
        <f t="shared" ref="AN225" si="434">(SUMIFS($I$4:$W$4,I224:W224,"&gt;0")-SUMIFS($I$4:$W$4,I225:W225,"F"))</f>
        <v>23</v>
      </c>
      <c r="AO225" s="56">
        <f t="shared" ref="AO225" si="435">SUMIFS($I$4:$W$4,I225:W225,"F")</f>
        <v>0</v>
      </c>
      <c r="AP225" s="76"/>
      <c r="AQ225" s="74"/>
      <c r="AR225" s="71"/>
    </row>
    <row r="226" spans="1:44" ht="15" thickTop="1" x14ac:dyDescent="0.3">
      <c r="A226" s="68">
        <v>111</v>
      </c>
      <c r="B226" s="70"/>
      <c r="C226" s="75"/>
      <c r="D226" s="84"/>
      <c r="E226" s="84"/>
      <c r="F226" s="84"/>
      <c r="G226" s="84"/>
      <c r="H226" s="85"/>
      <c r="I226" s="49">
        <v>56</v>
      </c>
      <c r="J226" s="49">
        <v>46</v>
      </c>
      <c r="K226" s="49">
        <v>47</v>
      </c>
      <c r="L226" s="49">
        <v>48</v>
      </c>
      <c r="M226" s="49">
        <v>49</v>
      </c>
      <c r="N226" s="49">
        <v>50</v>
      </c>
      <c r="O226" s="49">
        <v>51</v>
      </c>
      <c r="P226" s="49">
        <v>52</v>
      </c>
      <c r="Q226" s="49">
        <v>53</v>
      </c>
      <c r="R226" s="49">
        <v>54</v>
      </c>
      <c r="S226" s="49">
        <v>55</v>
      </c>
      <c r="T226" s="49">
        <v>56</v>
      </c>
      <c r="U226" s="49">
        <v>57</v>
      </c>
      <c r="V226" s="49">
        <v>58</v>
      </c>
      <c r="W226" s="49">
        <v>59</v>
      </c>
      <c r="X226" s="7"/>
      <c r="Y226" s="7"/>
      <c r="Z226" s="7"/>
      <c r="AA226" s="7"/>
      <c r="AB226" s="7"/>
      <c r="AC226" s="7"/>
      <c r="AD226" s="7"/>
      <c r="AE226" s="7"/>
      <c r="AF226" s="7"/>
      <c r="AM226" s="59"/>
      <c r="AN226" s="46"/>
      <c r="AO226" s="59"/>
      <c r="AP226" s="75" cm="1">
        <f t="array" ref="AP226">SUM(VLOOKUP(I227:W227,GRADEPOINT!$A$2:$B$7,2,0)*$I$4:$W$4)</f>
        <v>63</v>
      </c>
      <c r="AQ226" s="73">
        <f t="shared" ref="AQ226" si="436">ROUND(AP226/AM227,2)</f>
        <v>2.74</v>
      </c>
      <c r="AR226" s="72"/>
    </row>
    <row r="227" spans="1:44" ht="15" thickBot="1" x14ac:dyDescent="0.35">
      <c r="A227" s="69"/>
      <c r="B227" s="71"/>
      <c r="C227" s="86"/>
      <c r="D227" s="87"/>
      <c r="E227" s="87"/>
      <c r="F227" s="87"/>
      <c r="G227" s="87"/>
      <c r="H227" s="88"/>
      <c r="I227" s="51" t="str" cm="1">
        <f t="array" ref="I227">_xlfn.IFS(I226&gt;= 70,"A",I226&gt;=60,"B",I226&gt;=50,"C",I226&gt;=45,"D",I226&gt;=40,"E",I226&lt;40,"F")</f>
        <v>C</v>
      </c>
      <c r="J227" s="51" t="str" cm="1">
        <f t="array" ref="J227">_xlfn.IFS(J226&gt;= 70,"A",J226&gt;=60,"B",J226&gt;=50,"C",J226&gt;=45,"D",J226&gt;=40,"E",J226&lt;40,"F")</f>
        <v>D</v>
      </c>
      <c r="K227" s="51" t="str" cm="1">
        <f t="array" ref="K227">_xlfn.IFS(K226&gt;= 70,"A",K226&gt;=60,"B",K226&gt;=50,"C",K226&gt;=45,"D",K226&gt;=40,"E",K226&lt;40,"F")</f>
        <v>D</v>
      </c>
      <c r="L227" s="50" t="str" cm="1">
        <f t="array" ref="L227">_xlfn.IFS(L226&gt;= 70,"A",L226&gt;=60,"B",L226&gt;=50,"C",L226&gt;=45,"D",L226&gt;=40,"E",L226&lt;40,"F")</f>
        <v>D</v>
      </c>
      <c r="M227" s="51" t="str" cm="1">
        <f t="array" ref="M227">_xlfn.IFS(M226&gt;= 70,"A",M226&gt;=60,"B",M226&gt;=50,"C",M226&gt;=45,"D",M226&gt;=40,"E",M226&lt;40,"F")</f>
        <v>D</v>
      </c>
      <c r="N227" s="51" t="str" cm="1">
        <f t="array" ref="N227">_xlfn.IFS(N226&gt;= 70,"A",N226&gt;=60,"B",N226&gt;=50,"C",N226&gt;=45,"D",N226&gt;=40,"E",N226&lt;40,"F")</f>
        <v>C</v>
      </c>
      <c r="O227" s="51" t="str" cm="1">
        <f t="array" ref="O227">_xlfn.IFS(O226&gt;= 70,"A",O226&gt;=60,"B",O226&gt;=50,"C",O226&gt;=45,"D",O226&gt;=40,"E",O226&lt;40,"F")</f>
        <v>C</v>
      </c>
      <c r="P227" s="51" t="str" cm="1">
        <f t="array" ref="P227">_xlfn.IFS(P226&gt;= 70,"A",P226&gt;=60,"B",P226&gt;=50,"C",P226&gt;=45,"D",P226&gt;=40,"E",P226&lt;40,"F")</f>
        <v>C</v>
      </c>
      <c r="Q227" s="51" t="str" cm="1">
        <f t="array" ref="Q227">_xlfn.IFS(Q226&gt;= 70,"A",Q226&gt;=60,"B",Q226&gt;=50,"C",Q226&gt;=45,"D",Q226&gt;=40,"E",Q226&lt;40,"F")</f>
        <v>C</v>
      </c>
      <c r="R227" s="51" t="str" cm="1">
        <f t="array" ref="R227">_xlfn.IFS(R226&gt;= 70,"A",R226&gt;=60,"B",R226&gt;=50,"C",R226&gt;=45,"D",R226&gt;=40,"E",R226&lt;40,"F")</f>
        <v>C</v>
      </c>
      <c r="S227" s="51" t="str" cm="1">
        <f t="array" ref="S227">_xlfn.IFS(S226&gt;= 70,"A",S226&gt;=60,"B",S226&gt;=50,"C",S226&gt;=45,"D",S226&gt;=40,"E",S226&lt;40,"F")</f>
        <v>C</v>
      </c>
      <c r="T227" s="51" t="str" cm="1">
        <f t="array" ref="T227">_xlfn.IFS(T226&gt;= 70,"A",T226&gt;=60,"B",T226&gt;=50,"C",T226&gt;=45,"D",T226&gt;=40,"E",T226&lt;40,"F")</f>
        <v>C</v>
      </c>
      <c r="U227" s="51" t="str" cm="1">
        <f t="array" ref="U227">_xlfn.IFS(U226&gt;= 70,"A",U226&gt;=60,"B",U226&gt;=50,"C",U226&gt;=45,"D",U226&gt;=40,"E",U226&lt;40,"F")</f>
        <v>C</v>
      </c>
      <c r="V227" s="51" t="str" cm="1">
        <f t="array" ref="V227">_xlfn.IFS(V226&gt;= 70,"A",V226&gt;=60,"B",V226&gt;=50,"C",V226&gt;=45,"D",V226&gt;=40,"E",V226&lt;40,"F")</f>
        <v>C</v>
      </c>
      <c r="W227" s="50" t="str" cm="1">
        <f t="array" ref="W227">_xlfn.IFS(W226&gt;= 70,"A",W226&gt;=60,"B",W226&gt;=50,"C",W226&gt;=45,"D",W226&gt;=40,"E",W226&lt;40,"F")</f>
        <v>C</v>
      </c>
      <c r="X227" s="7"/>
      <c r="Y227" s="7"/>
      <c r="Z227" s="7"/>
      <c r="AA227" s="7"/>
      <c r="AB227" s="7"/>
      <c r="AC227" s="7"/>
      <c r="AD227" s="7"/>
      <c r="AE227" s="7"/>
      <c r="AF227" s="7"/>
      <c r="AM227" s="56">
        <f t="shared" ref="AM227" si="437">SUMIFS($I$4:$W$4,I226:W226,"&gt;0")</f>
        <v>23</v>
      </c>
      <c r="AN227" s="47">
        <f t="shared" ref="AN227" si="438">(SUMIFS($I$4:$W$4,I226:W226,"&gt;0")-SUMIFS($I$4:$W$4,I227:W227,"F"))</f>
        <v>23</v>
      </c>
      <c r="AO227" s="56">
        <f t="shared" ref="AO227" si="439">SUMIFS($I$4:$W$4,I227:W227,"F")</f>
        <v>0</v>
      </c>
      <c r="AP227" s="76"/>
      <c r="AQ227" s="74"/>
      <c r="AR227" s="71"/>
    </row>
    <row r="228" spans="1:44" ht="15" thickTop="1" x14ac:dyDescent="0.3">
      <c r="A228" s="68">
        <v>112</v>
      </c>
      <c r="B228" s="70"/>
      <c r="C228" s="75"/>
      <c r="D228" s="84"/>
      <c r="E228" s="84"/>
      <c r="F228" s="84"/>
      <c r="G228" s="84"/>
      <c r="H228" s="85"/>
      <c r="I228" s="49">
        <v>56</v>
      </c>
      <c r="J228" s="49">
        <v>46</v>
      </c>
      <c r="K228" s="49">
        <v>47</v>
      </c>
      <c r="L228" s="49">
        <v>48</v>
      </c>
      <c r="M228" s="49">
        <v>49</v>
      </c>
      <c r="N228" s="49">
        <v>50</v>
      </c>
      <c r="O228" s="49">
        <v>51</v>
      </c>
      <c r="P228" s="49">
        <v>52</v>
      </c>
      <c r="Q228" s="49">
        <v>53</v>
      </c>
      <c r="R228" s="49">
        <v>54</v>
      </c>
      <c r="S228" s="49">
        <v>55</v>
      </c>
      <c r="T228" s="49">
        <v>56</v>
      </c>
      <c r="U228" s="49">
        <v>57</v>
      </c>
      <c r="V228" s="49">
        <v>58</v>
      </c>
      <c r="W228" s="49">
        <v>59</v>
      </c>
      <c r="X228" s="7"/>
      <c r="Y228" s="7"/>
      <c r="Z228" s="7"/>
      <c r="AA228" s="7"/>
      <c r="AB228" s="7"/>
      <c r="AC228" s="7"/>
      <c r="AD228" s="7"/>
      <c r="AE228" s="7"/>
      <c r="AF228" s="7"/>
      <c r="AM228" s="59"/>
      <c r="AN228" s="46"/>
      <c r="AO228" s="59"/>
      <c r="AP228" s="75" cm="1">
        <f t="array" ref="AP228">SUM(VLOOKUP(I229:W229,GRADEPOINT!$A$2:$B$7,2,0)*$I$4:$W$4)</f>
        <v>63</v>
      </c>
      <c r="AQ228" s="73">
        <f t="shared" ref="AQ228" si="440">ROUND(AP228/AM229,2)</f>
        <v>2.74</v>
      </c>
      <c r="AR228" s="72"/>
    </row>
    <row r="229" spans="1:44" ht="15" thickBot="1" x14ac:dyDescent="0.35">
      <c r="A229" s="69"/>
      <c r="B229" s="71"/>
      <c r="C229" s="86"/>
      <c r="D229" s="87"/>
      <c r="E229" s="87"/>
      <c r="F229" s="87"/>
      <c r="G229" s="87"/>
      <c r="H229" s="88"/>
      <c r="I229" s="51" t="str" cm="1">
        <f t="array" ref="I229">_xlfn.IFS(I228&gt;= 70,"A",I228&gt;=60,"B",I228&gt;=50,"C",I228&gt;=45,"D",I228&gt;=40,"E",I228&lt;40,"F")</f>
        <v>C</v>
      </c>
      <c r="J229" s="51" t="str" cm="1">
        <f t="array" ref="J229">_xlfn.IFS(J228&gt;= 70,"A",J228&gt;=60,"B",J228&gt;=50,"C",J228&gt;=45,"D",J228&gt;=40,"E",J228&lt;40,"F")</f>
        <v>D</v>
      </c>
      <c r="K229" s="51" t="str" cm="1">
        <f t="array" ref="K229">_xlfn.IFS(K228&gt;= 70,"A",K228&gt;=60,"B",K228&gt;=50,"C",K228&gt;=45,"D",K228&gt;=40,"E",K228&lt;40,"F")</f>
        <v>D</v>
      </c>
      <c r="L229" s="50" t="str" cm="1">
        <f t="array" ref="L229">_xlfn.IFS(L228&gt;= 70,"A",L228&gt;=60,"B",L228&gt;=50,"C",L228&gt;=45,"D",L228&gt;=40,"E",L228&lt;40,"F")</f>
        <v>D</v>
      </c>
      <c r="M229" s="51" t="str" cm="1">
        <f t="array" ref="M229">_xlfn.IFS(M228&gt;= 70,"A",M228&gt;=60,"B",M228&gt;=50,"C",M228&gt;=45,"D",M228&gt;=40,"E",M228&lt;40,"F")</f>
        <v>D</v>
      </c>
      <c r="N229" s="51" t="str" cm="1">
        <f t="array" ref="N229">_xlfn.IFS(N228&gt;= 70,"A",N228&gt;=60,"B",N228&gt;=50,"C",N228&gt;=45,"D",N228&gt;=40,"E",N228&lt;40,"F")</f>
        <v>C</v>
      </c>
      <c r="O229" s="51" t="str" cm="1">
        <f t="array" ref="O229">_xlfn.IFS(O228&gt;= 70,"A",O228&gt;=60,"B",O228&gt;=50,"C",O228&gt;=45,"D",O228&gt;=40,"E",O228&lt;40,"F")</f>
        <v>C</v>
      </c>
      <c r="P229" s="51" t="str" cm="1">
        <f t="array" ref="P229">_xlfn.IFS(P228&gt;= 70,"A",P228&gt;=60,"B",P228&gt;=50,"C",P228&gt;=45,"D",P228&gt;=40,"E",P228&lt;40,"F")</f>
        <v>C</v>
      </c>
      <c r="Q229" s="51" t="str" cm="1">
        <f t="array" ref="Q229">_xlfn.IFS(Q228&gt;= 70,"A",Q228&gt;=60,"B",Q228&gt;=50,"C",Q228&gt;=45,"D",Q228&gt;=40,"E",Q228&lt;40,"F")</f>
        <v>C</v>
      </c>
      <c r="R229" s="51" t="str" cm="1">
        <f t="array" ref="R229">_xlfn.IFS(R228&gt;= 70,"A",R228&gt;=60,"B",R228&gt;=50,"C",R228&gt;=45,"D",R228&gt;=40,"E",R228&lt;40,"F")</f>
        <v>C</v>
      </c>
      <c r="S229" s="51" t="str" cm="1">
        <f t="array" ref="S229">_xlfn.IFS(S228&gt;= 70,"A",S228&gt;=60,"B",S228&gt;=50,"C",S228&gt;=45,"D",S228&gt;=40,"E",S228&lt;40,"F")</f>
        <v>C</v>
      </c>
      <c r="T229" s="51" t="str" cm="1">
        <f t="array" ref="T229">_xlfn.IFS(T228&gt;= 70,"A",T228&gt;=60,"B",T228&gt;=50,"C",T228&gt;=45,"D",T228&gt;=40,"E",T228&lt;40,"F")</f>
        <v>C</v>
      </c>
      <c r="U229" s="51" t="str" cm="1">
        <f t="array" ref="U229">_xlfn.IFS(U228&gt;= 70,"A",U228&gt;=60,"B",U228&gt;=50,"C",U228&gt;=45,"D",U228&gt;=40,"E",U228&lt;40,"F")</f>
        <v>C</v>
      </c>
      <c r="V229" s="51" t="str" cm="1">
        <f t="array" ref="V229">_xlfn.IFS(V228&gt;= 70,"A",V228&gt;=60,"B",V228&gt;=50,"C",V228&gt;=45,"D",V228&gt;=40,"E",V228&lt;40,"F")</f>
        <v>C</v>
      </c>
      <c r="W229" s="50" t="str" cm="1">
        <f t="array" ref="W229">_xlfn.IFS(W228&gt;= 70,"A",W228&gt;=60,"B",W228&gt;=50,"C",W228&gt;=45,"D",W228&gt;=40,"E",W228&lt;40,"F")</f>
        <v>C</v>
      </c>
      <c r="X229" s="7"/>
      <c r="Y229" s="7"/>
      <c r="Z229" s="7"/>
      <c r="AA229" s="7"/>
      <c r="AB229" s="7"/>
      <c r="AC229" s="7"/>
      <c r="AD229" s="7"/>
      <c r="AE229" s="7"/>
      <c r="AF229" s="7"/>
      <c r="AM229" s="56">
        <f t="shared" ref="AM229" si="441">SUMIFS($I$4:$W$4,I228:W228,"&gt;0")</f>
        <v>23</v>
      </c>
      <c r="AN229" s="47">
        <f t="shared" ref="AN229" si="442">(SUMIFS($I$4:$W$4,I228:W228,"&gt;0")-SUMIFS($I$4:$W$4,I229:W229,"F"))</f>
        <v>23</v>
      </c>
      <c r="AO229" s="56">
        <f t="shared" ref="AO229" si="443">SUMIFS($I$4:$W$4,I229:W229,"F")</f>
        <v>0</v>
      </c>
      <c r="AP229" s="76"/>
      <c r="AQ229" s="74"/>
      <c r="AR229" s="71"/>
    </row>
    <row r="230" spans="1:44" ht="15" thickTop="1" x14ac:dyDescent="0.3">
      <c r="A230" s="68">
        <v>113</v>
      </c>
      <c r="B230" s="70"/>
      <c r="C230" s="75"/>
      <c r="D230" s="84"/>
      <c r="E230" s="84"/>
      <c r="F230" s="84"/>
      <c r="G230" s="84"/>
      <c r="H230" s="85"/>
      <c r="I230" s="49">
        <v>56</v>
      </c>
      <c r="J230" s="49">
        <v>46</v>
      </c>
      <c r="K230" s="49">
        <v>47</v>
      </c>
      <c r="L230" s="49">
        <v>48</v>
      </c>
      <c r="M230" s="49">
        <v>49</v>
      </c>
      <c r="N230" s="49">
        <v>50</v>
      </c>
      <c r="O230" s="49">
        <v>51</v>
      </c>
      <c r="P230" s="49">
        <v>52</v>
      </c>
      <c r="Q230" s="49">
        <v>53</v>
      </c>
      <c r="R230" s="49">
        <v>54</v>
      </c>
      <c r="S230" s="49">
        <v>55</v>
      </c>
      <c r="T230" s="49">
        <v>56</v>
      </c>
      <c r="U230" s="49">
        <v>57</v>
      </c>
      <c r="V230" s="49">
        <v>58</v>
      </c>
      <c r="W230" s="49">
        <v>59</v>
      </c>
      <c r="X230" s="7"/>
      <c r="Y230" s="7"/>
      <c r="Z230" s="7"/>
      <c r="AA230" s="7"/>
      <c r="AB230" s="7"/>
      <c r="AC230" s="7"/>
      <c r="AD230" s="7"/>
      <c r="AE230" s="7"/>
      <c r="AF230" s="7"/>
      <c r="AM230" s="59"/>
      <c r="AN230" s="46"/>
      <c r="AO230" s="59"/>
      <c r="AP230" s="75" cm="1">
        <f t="array" ref="AP230">SUM(VLOOKUP(I231:W231,GRADEPOINT!$A$2:$B$7,2,0)*$I$4:$W$4)</f>
        <v>63</v>
      </c>
      <c r="AQ230" s="73">
        <f t="shared" ref="AQ230" si="444">ROUND(AP230/AM231,2)</f>
        <v>2.74</v>
      </c>
      <c r="AR230" s="72"/>
    </row>
    <row r="231" spans="1:44" ht="15" thickBot="1" x14ac:dyDescent="0.35">
      <c r="A231" s="69"/>
      <c r="B231" s="71"/>
      <c r="C231" s="86"/>
      <c r="D231" s="87"/>
      <c r="E231" s="87"/>
      <c r="F231" s="87"/>
      <c r="G231" s="87"/>
      <c r="H231" s="88"/>
      <c r="I231" s="51" t="str" cm="1">
        <f t="array" ref="I231">_xlfn.IFS(I230&gt;= 70,"A",I230&gt;=60,"B",I230&gt;=50,"C",I230&gt;=45,"D",I230&gt;=40,"E",I230&lt;40,"F")</f>
        <v>C</v>
      </c>
      <c r="J231" s="51" t="str" cm="1">
        <f t="array" ref="J231">_xlfn.IFS(J230&gt;= 70,"A",J230&gt;=60,"B",J230&gt;=50,"C",J230&gt;=45,"D",J230&gt;=40,"E",J230&lt;40,"F")</f>
        <v>D</v>
      </c>
      <c r="K231" s="51" t="str" cm="1">
        <f t="array" ref="K231">_xlfn.IFS(K230&gt;= 70,"A",K230&gt;=60,"B",K230&gt;=50,"C",K230&gt;=45,"D",K230&gt;=40,"E",K230&lt;40,"F")</f>
        <v>D</v>
      </c>
      <c r="L231" s="50" t="str" cm="1">
        <f t="array" ref="L231">_xlfn.IFS(L230&gt;= 70,"A",L230&gt;=60,"B",L230&gt;=50,"C",L230&gt;=45,"D",L230&gt;=40,"E",L230&lt;40,"F")</f>
        <v>D</v>
      </c>
      <c r="M231" s="51" t="str" cm="1">
        <f t="array" ref="M231">_xlfn.IFS(M230&gt;= 70,"A",M230&gt;=60,"B",M230&gt;=50,"C",M230&gt;=45,"D",M230&gt;=40,"E",M230&lt;40,"F")</f>
        <v>D</v>
      </c>
      <c r="N231" s="51" t="str" cm="1">
        <f t="array" ref="N231">_xlfn.IFS(N230&gt;= 70,"A",N230&gt;=60,"B",N230&gt;=50,"C",N230&gt;=45,"D",N230&gt;=40,"E",N230&lt;40,"F")</f>
        <v>C</v>
      </c>
      <c r="O231" s="51" t="str" cm="1">
        <f t="array" ref="O231">_xlfn.IFS(O230&gt;= 70,"A",O230&gt;=60,"B",O230&gt;=50,"C",O230&gt;=45,"D",O230&gt;=40,"E",O230&lt;40,"F")</f>
        <v>C</v>
      </c>
      <c r="P231" s="51" t="str" cm="1">
        <f t="array" ref="P231">_xlfn.IFS(P230&gt;= 70,"A",P230&gt;=60,"B",P230&gt;=50,"C",P230&gt;=45,"D",P230&gt;=40,"E",P230&lt;40,"F")</f>
        <v>C</v>
      </c>
      <c r="Q231" s="51" t="str" cm="1">
        <f t="array" ref="Q231">_xlfn.IFS(Q230&gt;= 70,"A",Q230&gt;=60,"B",Q230&gt;=50,"C",Q230&gt;=45,"D",Q230&gt;=40,"E",Q230&lt;40,"F")</f>
        <v>C</v>
      </c>
      <c r="R231" s="51" t="str" cm="1">
        <f t="array" ref="R231">_xlfn.IFS(R230&gt;= 70,"A",R230&gt;=60,"B",R230&gt;=50,"C",R230&gt;=45,"D",R230&gt;=40,"E",R230&lt;40,"F")</f>
        <v>C</v>
      </c>
      <c r="S231" s="51" t="str" cm="1">
        <f t="array" ref="S231">_xlfn.IFS(S230&gt;= 70,"A",S230&gt;=60,"B",S230&gt;=50,"C",S230&gt;=45,"D",S230&gt;=40,"E",S230&lt;40,"F")</f>
        <v>C</v>
      </c>
      <c r="T231" s="51" t="str" cm="1">
        <f t="array" ref="T231">_xlfn.IFS(T230&gt;= 70,"A",T230&gt;=60,"B",T230&gt;=50,"C",T230&gt;=45,"D",T230&gt;=40,"E",T230&lt;40,"F")</f>
        <v>C</v>
      </c>
      <c r="U231" s="51" t="str" cm="1">
        <f t="array" ref="U231">_xlfn.IFS(U230&gt;= 70,"A",U230&gt;=60,"B",U230&gt;=50,"C",U230&gt;=45,"D",U230&gt;=40,"E",U230&lt;40,"F")</f>
        <v>C</v>
      </c>
      <c r="V231" s="51" t="str" cm="1">
        <f t="array" ref="V231">_xlfn.IFS(V230&gt;= 70,"A",V230&gt;=60,"B",V230&gt;=50,"C",V230&gt;=45,"D",V230&gt;=40,"E",V230&lt;40,"F")</f>
        <v>C</v>
      </c>
      <c r="W231" s="50" t="str" cm="1">
        <f t="array" ref="W231">_xlfn.IFS(W230&gt;= 70,"A",W230&gt;=60,"B",W230&gt;=50,"C",W230&gt;=45,"D",W230&gt;=40,"E",W230&lt;40,"F")</f>
        <v>C</v>
      </c>
      <c r="X231" s="7"/>
      <c r="Y231" s="7"/>
      <c r="Z231" s="7"/>
      <c r="AA231" s="7"/>
      <c r="AB231" s="7"/>
      <c r="AC231" s="7"/>
      <c r="AD231" s="7"/>
      <c r="AE231" s="7"/>
      <c r="AF231" s="7"/>
      <c r="AM231" s="56">
        <f t="shared" ref="AM231" si="445">SUMIFS($I$4:$W$4,I230:W230,"&gt;0")</f>
        <v>23</v>
      </c>
      <c r="AN231" s="47">
        <f t="shared" ref="AN231" si="446">(SUMIFS($I$4:$W$4,I230:W230,"&gt;0")-SUMIFS($I$4:$W$4,I231:W231,"F"))</f>
        <v>23</v>
      </c>
      <c r="AO231" s="56">
        <f t="shared" ref="AO231" si="447">SUMIFS($I$4:$W$4,I231:W231,"F")</f>
        <v>0</v>
      </c>
      <c r="AP231" s="76"/>
      <c r="AQ231" s="74"/>
      <c r="AR231" s="71"/>
    </row>
    <row r="232" spans="1:44" ht="15" thickTop="1" x14ac:dyDescent="0.3">
      <c r="A232" s="68">
        <v>114</v>
      </c>
      <c r="B232" s="70"/>
      <c r="C232" s="75"/>
      <c r="D232" s="84"/>
      <c r="E232" s="84"/>
      <c r="F232" s="84"/>
      <c r="G232" s="84"/>
      <c r="H232" s="85"/>
      <c r="I232" s="49">
        <v>56</v>
      </c>
      <c r="J232" s="49">
        <v>46</v>
      </c>
      <c r="K232" s="49">
        <v>47</v>
      </c>
      <c r="L232" s="49">
        <v>48</v>
      </c>
      <c r="M232" s="49">
        <v>49</v>
      </c>
      <c r="N232" s="49">
        <v>50</v>
      </c>
      <c r="O232" s="49">
        <v>51</v>
      </c>
      <c r="P232" s="49">
        <v>52</v>
      </c>
      <c r="Q232" s="49">
        <v>53</v>
      </c>
      <c r="R232" s="49">
        <v>54</v>
      </c>
      <c r="S232" s="49">
        <v>55</v>
      </c>
      <c r="T232" s="49">
        <v>56</v>
      </c>
      <c r="U232" s="49">
        <v>57</v>
      </c>
      <c r="V232" s="49">
        <v>58</v>
      </c>
      <c r="W232" s="49">
        <v>59</v>
      </c>
      <c r="X232" s="7"/>
      <c r="Y232" s="7"/>
      <c r="Z232" s="7"/>
      <c r="AA232" s="7"/>
      <c r="AB232" s="7"/>
      <c r="AC232" s="7"/>
      <c r="AD232" s="7"/>
      <c r="AE232" s="7"/>
      <c r="AF232" s="7"/>
      <c r="AM232" s="59"/>
      <c r="AN232" s="46"/>
      <c r="AO232" s="59"/>
      <c r="AP232" s="75" cm="1">
        <f t="array" ref="AP232">SUM(VLOOKUP(I233:W233,GRADEPOINT!$A$2:$B$7,2,0)*$I$4:$W$4)</f>
        <v>63</v>
      </c>
      <c r="AQ232" s="73">
        <f t="shared" ref="AQ232" si="448">ROUND(AP232/AM233,2)</f>
        <v>2.74</v>
      </c>
      <c r="AR232" s="72"/>
    </row>
    <row r="233" spans="1:44" ht="15" thickBot="1" x14ac:dyDescent="0.35">
      <c r="A233" s="69"/>
      <c r="B233" s="71"/>
      <c r="C233" s="86"/>
      <c r="D233" s="87"/>
      <c r="E233" s="87"/>
      <c r="F233" s="87"/>
      <c r="G233" s="87"/>
      <c r="H233" s="88"/>
      <c r="I233" s="51" t="str" cm="1">
        <f t="array" ref="I233">_xlfn.IFS(I232&gt;= 70,"A",I232&gt;=60,"B",I232&gt;=50,"C",I232&gt;=45,"D",I232&gt;=40,"E",I232&lt;40,"F")</f>
        <v>C</v>
      </c>
      <c r="J233" s="51" t="str" cm="1">
        <f t="array" ref="J233">_xlfn.IFS(J232&gt;= 70,"A",J232&gt;=60,"B",J232&gt;=50,"C",J232&gt;=45,"D",J232&gt;=40,"E",J232&lt;40,"F")</f>
        <v>D</v>
      </c>
      <c r="K233" s="51" t="str" cm="1">
        <f t="array" ref="K233">_xlfn.IFS(K232&gt;= 70,"A",K232&gt;=60,"B",K232&gt;=50,"C",K232&gt;=45,"D",K232&gt;=40,"E",K232&lt;40,"F")</f>
        <v>D</v>
      </c>
      <c r="L233" s="50" t="str" cm="1">
        <f t="array" ref="L233">_xlfn.IFS(L232&gt;= 70,"A",L232&gt;=60,"B",L232&gt;=50,"C",L232&gt;=45,"D",L232&gt;=40,"E",L232&lt;40,"F")</f>
        <v>D</v>
      </c>
      <c r="M233" s="51" t="str" cm="1">
        <f t="array" ref="M233">_xlfn.IFS(M232&gt;= 70,"A",M232&gt;=60,"B",M232&gt;=50,"C",M232&gt;=45,"D",M232&gt;=40,"E",M232&lt;40,"F")</f>
        <v>D</v>
      </c>
      <c r="N233" s="51" t="str" cm="1">
        <f t="array" ref="N233">_xlfn.IFS(N232&gt;= 70,"A",N232&gt;=60,"B",N232&gt;=50,"C",N232&gt;=45,"D",N232&gt;=40,"E",N232&lt;40,"F")</f>
        <v>C</v>
      </c>
      <c r="O233" s="51" t="str" cm="1">
        <f t="array" ref="O233">_xlfn.IFS(O232&gt;= 70,"A",O232&gt;=60,"B",O232&gt;=50,"C",O232&gt;=45,"D",O232&gt;=40,"E",O232&lt;40,"F")</f>
        <v>C</v>
      </c>
      <c r="P233" s="51" t="str" cm="1">
        <f t="array" ref="P233">_xlfn.IFS(P232&gt;= 70,"A",P232&gt;=60,"B",P232&gt;=50,"C",P232&gt;=45,"D",P232&gt;=40,"E",P232&lt;40,"F")</f>
        <v>C</v>
      </c>
      <c r="Q233" s="51" t="str" cm="1">
        <f t="array" ref="Q233">_xlfn.IFS(Q232&gt;= 70,"A",Q232&gt;=60,"B",Q232&gt;=50,"C",Q232&gt;=45,"D",Q232&gt;=40,"E",Q232&lt;40,"F")</f>
        <v>C</v>
      </c>
      <c r="R233" s="51" t="str" cm="1">
        <f t="array" ref="R233">_xlfn.IFS(R232&gt;= 70,"A",R232&gt;=60,"B",R232&gt;=50,"C",R232&gt;=45,"D",R232&gt;=40,"E",R232&lt;40,"F")</f>
        <v>C</v>
      </c>
      <c r="S233" s="51" t="str" cm="1">
        <f t="array" ref="S233">_xlfn.IFS(S232&gt;= 70,"A",S232&gt;=60,"B",S232&gt;=50,"C",S232&gt;=45,"D",S232&gt;=40,"E",S232&lt;40,"F")</f>
        <v>C</v>
      </c>
      <c r="T233" s="51" t="str" cm="1">
        <f t="array" ref="T233">_xlfn.IFS(T232&gt;= 70,"A",T232&gt;=60,"B",T232&gt;=50,"C",T232&gt;=45,"D",T232&gt;=40,"E",T232&lt;40,"F")</f>
        <v>C</v>
      </c>
      <c r="U233" s="51" t="str" cm="1">
        <f t="array" ref="U233">_xlfn.IFS(U232&gt;= 70,"A",U232&gt;=60,"B",U232&gt;=50,"C",U232&gt;=45,"D",U232&gt;=40,"E",U232&lt;40,"F")</f>
        <v>C</v>
      </c>
      <c r="V233" s="51" t="str" cm="1">
        <f t="array" ref="V233">_xlfn.IFS(V232&gt;= 70,"A",V232&gt;=60,"B",V232&gt;=50,"C",V232&gt;=45,"D",V232&gt;=40,"E",V232&lt;40,"F")</f>
        <v>C</v>
      </c>
      <c r="W233" s="50" t="str" cm="1">
        <f t="array" ref="W233">_xlfn.IFS(W232&gt;= 70,"A",W232&gt;=60,"B",W232&gt;=50,"C",W232&gt;=45,"D",W232&gt;=40,"E",W232&lt;40,"F")</f>
        <v>C</v>
      </c>
      <c r="X233" s="7"/>
      <c r="Y233" s="7"/>
      <c r="Z233" s="7"/>
      <c r="AA233" s="7"/>
      <c r="AB233" s="7"/>
      <c r="AC233" s="7"/>
      <c r="AD233" s="7"/>
      <c r="AE233" s="7"/>
      <c r="AF233" s="7"/>
      <c r="AM233" s="56">
        <f t="shared" ref="AM233" si="449">SUMIFS($I$4:$W$4,I232:W232,"&gt;0")</f>
        <v>23</v>
      </c>
      <c r="AN233" s="47">
        <f t="shared" ref="AN233" si="450">(SUMIFS($I$4:$W$4,I232:W232,"&gt;0")-SUMIFS($I$4:$W$4,I233:W233,"F"))</f>
        <v>23</v>
      </c>
      <c r="AO233" s="56">
        <f t="shared" ref="AO233" si="451">SUMIFS($I$4:$W$4,I233:W233,"F")</f>
        <v>0</v>
      </c>
      <c r="AP233" s="76"/>
      <c r="AQ233" s="74"/>
      <c r="AR233" s="71"/>
    </row>
    <row r="234" spans="1:44" ht="15" thickTop="1" x14ac:dyDescent="0.3">
      <c r="A234" s="68">
        <v>115</v>
      </c>
      <c r="B234" s="70"/>
      <c r="C234" s="75"/>
      <c r="D234" s="84"/>
      <c r="E234" s="84"/>
      <c r="F234" s="84"/>
      <c r="G234" s="84"/>
      <c r="H234" s="85"/>
      <c r="I234" s="49">
        <v>56</v>
      </c>
      <c r="J234" s="49">
        <v>46</v>
      </c>
      <c r="K234" s="49">
        <v>47</v>
      </c>
      <c r="L234" s="49">
        <v>48</v>
      </c>
      <c r="M234" s="49">
        <v>49</v>
      </c>
      <c r="N234" s="49">
        <v>50</v>
      </c>
      <c r="O234" s="49">
        <v>51</v>
      </c>
      <c r="P234" s="49">
        <v>52</v>
      </c>
      <c r="Q234" s="49">
        <v>53</v>
      </c>
      <c r="R234" s="49">
        <v>54</v>
      </c>
      <c r="S234" s="49">
        <v>55</v>
      </c>
      <c r="T234" s="49">
        <v>56</v>
      </c>
      <c r="U234" s="49">
        <v>57</v>
      </c>
      <c r="V234" s="49">
        <v>58</v>
      </c>
      <c r="W234" s="49">
        <v>59</v>
      </c>
      <c r="X234" s="7"/>
      <c r="Y234" s="7"/>
      <c r="Z234" s="7"/>
      <c r="AA234" s="7"/>
      <c r="AB234" s="7"/>
      <c r="AC234" s="7"/>
      <c r="AD234" s="7"/>
      <c r="AE234" s="7"/>
      <c r="AF234" s="7"/>
      <c r="AM234" s="59"/>
      <c r="AN234" s="46"/>
      <c r="AO234" s="59"/>
      <c r="AP234" s="75" cm="1">
        <f t="array" ref="AP234">SUM(VLOOKUP(I235:W235,GRADEPOINT!$A$2:$B$7,2,0)*$I$4:$W$4)</f>
        <v>63</v>
      </c>
      <c r="AQ234" s="73">
        <f t="shared" ref="AQ234" si="452">ROUND(AP234/AM235,2)</f>
        <v>2.74</v>
      </c>
      <c r="AR234" s="72"/>
    </row>
    <row r="235" spans="1:44" ht="15" thickBot="1" x14ac:dyDescent="0.35">
      <c r="A235" s="69"/>
      <c r="B235" s="71"/>
      <c r="C235" s="86"/>
      <c r="D235" s="87"/>
      <c r="E235" s="87"/>
      <c r="F235" s="87"/>
      <c r="G235" s="87"/>
      <c r="H235" s="88"/>
      <c r="I235" s="51" t="str" cm="1">
        <f t="array" ref="I235">_xlfn.IFS(I234&gt;= 70,"A",I234&gt;=60,"B",I234&gt;=50,"C",I234&gt;=45,"D",I234&gt;=40,"E",I234&lt;40,"F")</f>
        <v>C</v>
      </c>
      <c r="J235" s="51" t="str" cm="1">
        <f t="array" ref="J235">_xlfn.IFS(J234&gt;= 70,"A",J234&gt;=60,"B",J234&gt;=50,"C",J234&gt;=45,"D",J234&gt;=40,"E",J234&lt;40,"F")</f>
        <v>D</v>
      </c>
      <c r="K235" s="51" t="str" cm="1">
        <f t="array" ref="K235">_xlfn.IFS(K234&gt;= 70,"A",K234&gt;=60,"B",K234&gt;=50,"C",K234&gt;=45,"D",K234&gt;=40,"E",K234&lt;40,"F")</f>
        <v>D</v>
      </c>
      <c r="L235" s="50" t="str" cm="1">
        <f t="array" ref="L235">_xlfn.IFS(L234&gt;= 70,"A",L234&gt;=60,"B",L234&gt;=50,"C",L234&gt;=45,"D",L234&gt;=40,"E",L234&lt;40,"F")</f>
        <v>D</v>
      </c>
      <c r="M235" s="51" t="str" cm="1">
        <f t="array" ref="M235">_xlfn.IFS(M234&gt;= 70,"A",M234&gt;=60,"B",M234&gt;=50,"C",M234&gt;=45,"D",M234&gt;=40,"E",M234&lt;40,"F")</f>
        <v>D</v>
      </c>
      <c r="N235" s="51" t="str" cm="1">
        <f t="array" ref="N235">_xlfn.IFS(N234&gt;= 70,"A",N234&gt;=60,"B",N234&gt;=50,"C",N234&gt;=45,"D",N234&gt;=40,"E",N234&lt;40,"F")</f>
        <v>C</v>
      </c>
      <c r="O235" s="51" t="str" cm="1">
        <f t="array" ref="O235">_xlfn.IFS(O234&gt;= 70,"A",O234&gt;=60,"B",O234&gt;=50,"C",O234&gt;=45,"D",O234&gt;=40,"E",O234&lt;40,"F")</f>
        <v>C</v>
      </c>
      <c r="P235" s="51" t="str" cm="1">
        <f t="array" ref="P235">_xlfn.IFS(P234&gt;= 70,"A",P234&gt;=60,"B",P234&gt;=50,"C",P234&gt;=45,"D",P234&gt;=40,"E",P234&lt;40,"F")</f>
        <v>C</v>
      </c>
      <c r="Q235" s="51" t="str" cm="1">
        <f t="array" ref="Q235">_xlfn.IFS(Q234&gt;= 70,"A",Q234&gt;=60,"B",Q234&gt;=50,"C",Q234&gt;=45,"D",Q234&gt;=40,"E",Q234&lt;40,"F")</f>
        <v>C</v>
      </c>
      <c r="R235" s="51" t="str" cm="1">
        <f t="array" ref="R235">_xlfn.IFS(R234&gt;= 70,"A",R234&gt;=60,"B",R234&gt;=50,"C",R234&gt;=45,"D",R234&gt;=40,"E",R234&lt;40,"F")</f>
        <v>C</v>
      </c>
      <c r="S235" s="51" t="str" cm="1">
        <f t="array" ref="S235">_xlfn.IFS(S234&gt;= 70,"A",S234&gt;=60,"B",S234&gt;=50,"C",S234&gt;=45,"D",S234&gt;=40,"E",S234&lt;40,"F")</f>
        <v>C</v>
      </c>
      <c r="T235" s="51" t="str" cm="1">
        <f t="array" ref="T235">_xlfn.IFS(T234&gt;= 70,"A",T234&gt;=60,"B",T234&gt;=50,"C",T234&gt;=45,"D",T234&gt;=40,"E",T234&lt;40,"F")</f>
        <v>C</v>
      </c>
      <c r="U235" s="51" t="str" cm="1">
        <f t="array" ref="U235">_xlfn.IFS(U234&gt;= 70,"A",U234&gt;=60,"B",U234&gt;=50,"C",U234&gt;=45,"D",U234&gt;=40,"E",U234&lt;40,"F")</f>
        <v>C</v>
      </c>
      <c r="V235" s="51" t="str" cm="1">
        <f t="array" ref="V235">_xlfn.IFS(V234&gt;= 70,"A",V234&gt;=60,"B",V234&gt;=50,"C",V234&gt;=45,"D",V234&gt;=40,"E",V234&lt;40,"F")</f>
        <v>C</v>
      </c>
      <c r="W235" s="50" t="str" cm="1">
        <f t="array" ref="W235">_xlfn.IFS(W234&gt;= 70,"A",W234&gt;=60,"B",W234&gt;=50,"C",W234&gt;=45,"D",W234&gt;=40,"E",W234&lt;40,"F")</f>
        <v>C</v>
      </c>
      <c r="X235" s="7"/>
      <c r="Y235" s="7"/>
      <c r="Z235" s="7"/>
      <c r="AA235" s="7"/>
      <c r="AB235" s="7"/>
      <c r="AC235" s="7"/>
      <c r="AD235" s="7"/>
      <c r="AE235" s="7"/>
      <c r="AF235" s="7"/>
      <c r="AM235" s="56">
        <f t="shared" ref="AM235" si="453">SUMIFS($I$4:$W$4,I234:W234,"&gt;0")</f>
        <v>23</v>
      </c>
      <c r="AN235" s="47">
        <f t="shared" ref="AN235" si="454">(SUMIFS($I$4:$W$4,I234:W234,"&gt;0")-SUMIFS($I$4:$W$4,I235:W235,"F"))</f>
        <v>23</v>
      </c>
      <c r="AO235" s="56">
        <f t="shared" ref="AO235" si="455">SUMIFS($I$4:$W$4,I235:W235,"F")</f>
        <v>0</v>
      </c>
      <c r="AP235" s="76"/>
      <c r="AQ235" s="74"/>
      <c r="AR235" s="71"/>
    </row>
    <row r="236" spans="1:44" ht="15" thickTop="1" x14ac:dyDescent="0.3">
      <c r="A236" s="68">
        <v>116</v>
      </c>
      <c r="B236" s="70"/>
      <c r="C236" s="75"/>
      <c r="D236" s="84"/>
      <c r="E236" s="84"/>
      <c r="F236" s="84"/>
      <c r="G236" s="84"/>
      <c r="H236" s="85"/>
      <c r="I236" s="49">
        <v>56</v>
      </c>
      <c r="J236" s="49">
        <v>46</v>
      </c>
      <c r="K236" s="49">
        <v>47</v>
      </c>
      <c r="L236" s="49">
        <v>48</v>
      </c>
      <c r="M236" s="49">
        <v>49</v>
      </c>
      <c r="N236" s="49">
        <v>50</v>
      </c>
      <c r="O236" s="49">
        <v>51</v>
      </c>
      <c r="P236" s="49">
        <v>52</v>
      </c>
      <c r="Q236" s="49">
        <v>53</v>
      </c>
      <c r="R236" s="49">
        <v>54</v>
      </c>
      <c r="S236" s="49">
        <v>55</v>
      </c>
      <c r="T236" s="49">
        <v>56</v>
      </c>
      <c r="U236" s="49">
        <v>57</v>
      </c>
      <c r="V236" s="49">
        <v>58</v>
      </c>
      <c r="W236" s="49">
        <v>59</v>
      </c>
      <c r="X236" s="7"/>
      <c r="Y236" s="7"/>
      <c r="Z236" s="7"/>
      <c r="AA236" s="7"/>
      <c r="AB236" s="7"/>
      <c r="AC236" s="7"/>
      <c r="AD236" s="7"/>
      <c r="AE236" s="7"/>
      <c r="AF236" s="7"/>
      <c r="AM236" s="59"/>
      <c r="AN236" s="46"/>
      <c r="AO236" s="59"/>
      <c r="AP236" s="75" cm="1">
        <f t="array" ref="AP236">SUM(VLOOKUP(I237:W237,GRADEPOINT!$A$2:$B$7,2,0)*$I$4:$W$4)</f>
        <v>63</v>
      </c>
      <c r="AQ236" s="73">
        <f t="shared" ref="AQ236" si="456">ROUND(AP236/AM237,2)</f>
        <v>2.74</v>
      </c>
      <c r="AR236" s="72"/>
    </row>
    <row r="237" spans="1:44" ht="15" thickBot="1" x14ac:dyDescent="0.35">
      <c r="A237" s="69"/>
      <c r="B237" s="71"/>
      <c r="C237" s="86"/>
      <c r="D237" s="87"/>
      <c r="E237" s="87"/>
      <c r="F237" s="87"/>
      <c r="G237" s="87"/>
      <c r="H237" s="88"/>
      <c r="I237" s="51" t="str" cm="1">
        <f t="array" ref="I237">_xlfn.IFS(I236&gt;= 70,"A",I236&gt;=60,"B",I236&gt;=50,"C",I236&gt;=45,"D",I236&gt;=40,"E",I236&lt;40,"F")</f>
        <v>C</v>
      </c>
      <c r="J237" s="51" t="str" cm="1">
        <f t="array" ref="J237">_xlfn.IFS(J236&gt;= 70,"A",J236&gt;=60,"B",J236&gt;=50,"C",J236&gt;=45,"D",J236&gt;=40,"E",J236&lt;40,"F")</f>
        <v>D</v>
      </c>
      <c r="K237" s="51" t="str" cm="1">
        <f t="array" ref="K237">_xlfn.IFS(K236&gt;= 70,"A",K236&gt;=60,"B",K236&gt;=50,"C",K236&gt;=45,"D",K236&gt;=40,"E",K236&lt;40,"F")</f>
        <v>D</v>
      </c>
      <c r="L237" s="50" t="str" cm="1">
        <f t="array" ref="L237">_xlfn.IFS(L236&gt;= 70,"A",L236&gt;=60,"B",L236&gt;=50,"C",L236&gt;=45,"D",L236&gt;=40,"E",L236&lt;40,"F")</f>
        <v>D</v>
      </c>
      <c r="M237" s="51" t="str" cm="1">
        <f t="array" ref="M237">_xlfn.IFS(M236&gt;= 70,"A",M236&gt;=60,"B",M236&gt;=50,"C",M236&gt;=45,"D",M236&gt;=40,"E",M236&lt;40,"F")</f>
        <v>D</v>
      </c>
      <c r="N237" s="51" t="str" cm="1">
        <f t="array" ref="N237">_xlfn.IFS(N236&gt;= 70,"A",N236&gt;=60,"B",N236&gt;=50,"C",N236&gt;=45,"D",N236&gt;=40,"E",N236&lt;40,"F")</f>
        <v>C</v>
      </c>
      <c r="O237" s="51" t="str" cm="1">
        <f t="array" ref="O237">_xlfn.IFS(O236&gt;= 70,"A",O236&gt;=60,"B",O236&gt;=50,"C",O236&gt;=45,"D",O236&gt;=40,"E",O236&lt;40,"F")</f>
        <v>C</v>
      </c>
      <c r="P237" s="51" t="str" cm="1">
        <f t="array" ref="P237">_xlfn.IFS(P236&gt;= 70,"A",P236&gt;=60,"B",P236&gt;=50,"C",P236&gt;=45,"D",P236&gt;=40,"E",P236&lt;40,"F")</f>
        <v>C</v>
      </c>
      <c r="Q237" s="51" t="str" cm="1">
        <f t="array" ref="Q237">_xlfn.IFS(Q236&gt;= 70,"A",Q236&gt;=60,"B",Q236&gt;=50,"C",Q236&gt;=45,"D",Q236&gt;=40,"E",Q236&lt;40,"F")</f>
        <v>C</v>
      </c>
      <c r="R237" s="51" t="str" cm="1">
        <f t="array" ref="R237">_xlfn.IFS(R236&gt;= 70,"A",R236&gt;=60,"B",R236&gt;=50,"C",R236&gt;=45,"D",R236&gt;=40,"E",R236&lt;40,"F")</f>
        <v>C</v>
      </c>
      <c r="S237" s="51" t="str" cm="1">
        <f t="array" ref="S237">_xlfn.IFS(S236&gt;= 70,"A",S236&gt;=60,"B",S236&gt;=50,"C",S236&gt;=45,"D",S236&gt;=40,"E",S236&lt;40,"F")</f>
        <v>C</v>
      </c>
      <c r="T237" s="51" t="str" cm="1">
        <f t="array" ref="T237">_xlfn.IFS(T236&gt;= 70,"A",T236&gt;=60,"B",T236&gt;=50,"C",T236&gt;=45,"D",T236&gt;=40,"E",T236&lt;40,"F")</f>
        <v>C</v>
      </c>
      <c r="U237" s="51" t="str" cm="1">
        <f t="array" ref="U237">_xlfn.IFS(U236&gt;= 70,"A",U236&gt;=60,"B",U236&gt;=50,"C",U236&gt;=45,"D",U236&gt;=40,"E",U236&lt;40,"F")</f>
        <v>C</v>
      </c>
      <c r="V237" s="51" t="str" cm="1">
        <f t="array" ref="V237">_xlfn.IFS(V236&gt;= 70,"A",V236&gt;=60,"B",V236&gt;=50,"C",V236&gt;=45,"D",V236&gt;=40,"E",V236&lt;40,"F")</f>
        <v>C</v>
      </c>
      <c r="W237" s="50" t="str" cm="1">
        <f t="array" ref="W237">_xlfn.IFS(W236&gt;= 70,"A",W236&gt;=60,"B",W236&gt;=50,"C",W236&gt;=45,"D",W236&gt;=40,"E",W236&lt;40,"F")</f>
        <v>C</v>
      </c>
      <c r="X237" s="7"/>
      <c r="Y237" s="7"/>
      <c r="Z237" s="7"/>
      <c r="AA237" s="7"/>
      <c r="AB237" s="7"/>
      <c r="AC237" s="7"/>
      <c r="AD237" s="7"/>
      <c r="AE237" s="7"/>
      <c r="AF237" s="7"/>
      <c r="AM237" s="56">
        <f t="shared" ref="AM237" si="457">SUMIFS($I$4:$W$4,I236:W236,"&gt;0")</f>
        <v>23</v>
      </c>
      <c r="AN237" s="47">
        <f t="shared" ref="AN237" si="458">(SUMIFS($I$4:$W$4,I236:W236,"&gt;0")-SUMIFS($I$4:$W$4,I237:W237,"F"))</f>
        <v>23</v>
      </c>
      <c r="AO237" s="56">
        <f t="shared" ref="AO237" si="459">SUMIFS($I$4:$W$4,I237:W237,"F")</f>
        <v>0</v>
      </c>
      <c r="AP237" s="76"/>
      <c r="AQ237" s="74"/>
      <c r="AR237" s="71"/>
    </row>
    <row r="238" spans="1:44" ht="15" thickTop="1" x14ac:dyDescent="0.3">
      <c r="A238" s="68">
        <v>117</v>
      </c>
      <c r="B238" s="70"/>
      <c r="C238" s="75"/>
      <c r="D238" s="84"/>
      <c r="E238" s="84"/>
      <c r="F238" s="84"/>
      <c r="G238" s="84"/>
      <c r="H238" s="85"/>
      <c r="I238" s="49">
        <v>56</v>
      </c>
      <c r="J238" s="49">
        <v>46</v>
      </c>
      <c r="K238" s="49">
        <v>47</v>
      </c>
      <c r="L238" s="49">
        <v>48</v>
      </c>
      <c r="M238" s="49">
        <v>49</v>
      </c>
      <c r="N238" s="49">
        <v>50</v>
      </c>
      <c r="O238" s="49">
        <v>51</v>
      </c>
      <c r="P238" s="49">
        <v>52</v>
      </c>
      <c r="Q238" s="49">
        <v>53</v>
      </c>
      <c r="R238" s="49">
        <v>54</v>
      </c>
      <c r="S238" s="49">
        <v>55</v>
      </c>
      <c r="T238" s="49">
        <v>56</v>
      </c>
      <c r="U238" s="49">
        <v>57</v>
      </c>
      <c r="V238" s="49">
        <v>58</v>
      </c>
      <c r="W238" s="49">
        <v>59</v>
      </c>
      <c r="X238" s="7"/>
      <c r="Y238" s="7"/>
      <c r="Z238" s="7"/>
      <c r="AA238" s="7"/>
      <c r="AB238" s="7"/>
      <c r="AC238" s="7"/>
      <c r="AD238" s="7"/>
      <c r="AE238" s="7"/>
      <c r="AF238" s="7"/>
      <c r="AM238" s="59"/>
      <c r="AN238" s="46"/>
      <c r="AO238" s="59"/>
      <c r="AP238" s="75" cm="1">
        <f t="array" ref="AP238">SUM(VLOOKUP(I239:W239,GRADEPOINT!$A$2:$B$7,2,0)*$I$4:$W$4)</f>
        <v>63</v>
      </c>
      <c r="AQ238" s="73">
        <f t="shared" ref="AQ238" si="460">ROUND(AP238/AM239,2)</f>
        <v>2.74</v>
      </c>
      <c r="AR238" s="72"/>
    </row>
    <row r="239" spans="1:44" ht="15" thickBot="1" x14ac:dyDescent="0.35">
      <c r="A239" s="69"/>
      <c r="B239" s="71"/>
      <c r="C239" s="86"/>
      <c r="D239" s="87"/>
      <c r="E239" s="87"/>
      <c r="F239" s="87"/>
      <c r="G239" s="87"/>
      <c r="H239" s="88"/>
      <c r="I239" s="51" t="str" cm="1">
        <f t="array" ref="I239">_xlfn.IFS(I238&gt;= 70,"A",I238&gt;=60,"B",I238&gt;=50,"C",I238&gt;=45,"D",I238&gt;=40,"E",I238&lt;40,"F")</f>
        <v>C</v>
      </c>
      <c r="J239" s="51" t="str" cm="1">
        <f t="array" ref="J239">_xlfn.IFS(J238&gt;= 70,"A",J238&gt;=60,"B",J238&gt;=50,"C",J238&gt;=45,"D",J238&gt;=40,"E",J238&lt;40,"F")</f>
        <v>D</v>
      </c>
      <c r="K239" s="51" t="str" cm="1">
        <f t="array" ref="K239">_xlfn.IFS(K238&gt;= 70,"A",K238&gt;=60,"B",K238&gt;=50,"C",K238&gt;=45,"D",K238&gt;=40,"E",K238&lt;40,"F")</f>
        <v>D</v>
      </c>
      <c r="L239" s="50" t="str" cm="1">
        <f t="array" ref="L239">_xlfn.IFS(L238&gt;= 70,"A",L238&gt;=60,"B",L238&gt;=50,"C",L238&gt;=45,"D",L238&gt;=40,"E",L238&lt;40,"F")</f>
        <v>D</v>
      </c>
      <c r="M239" s="51" t="str" cm="1">
        <f t="array" ref="M239">_xlfn.IFS(M238&gt;= 70,"A",M238&gt;=60,"B",M238&gt;=50,"C",M238&gt;=45,"D",M238&gt;=40,"E",M238&lt;40,"F")</f>
        <v>D</v>
      </c>
      <c r="N239" s="51" t="str" cm="1">
        <f t="array" ref="N239">_xlfn.IFS(N238&gt;= 70,"A",N238&gt;=60,"B",N238&gt;=50,"C",N238&gt;=45,"D",N238&gt;=40,"E",N238&lt;40,"F")</f>
        <v>C</v>
      </c>
      <c r="O239" s="51" t="str" cm="1">
        <f t="array" ref="O239">_xlfn.IFS(O238&gt;= 70,"A",O238&gt;=60,"B",O238&gt;=50,"C",O238&gt;=45,"D",O238&gt;=40,"E",O238&lt;40,"F")</f>
        <v>C</v>
      </c>
      <c r="P239" s="51" t="str" cm="1">
        <f t="array" ref="P239">_xlfn.IFS(P238&gt;= 70,"A",P238&gt;=60,"B",P238&gt;=50,"C",P238&gt;=45,"D",P238&gt;=40,"E",P238&lt;40,"F")</f>
        <v>C</v>
      </c>
      <c r="Q239" s="51" t="str" cm="1">
        <f t="array" ref="Q239">_xlfn.IFS(Q238&gt;= 70,"A",Q238&gt;=60,"B",Q238&gt;=50,"C",Q238&gt;=45,"D",Q238&gt;=40,"E",Q238&lt;40,"F")</f>
        <v>C</v>
      </c>
      <c r="R239" s="51" t="str" cm="1">
        <f t="array" ref="R239">_xlfn.IFS(R238&gt;= 70,"A",R238&gt;=60,"B",R238&gt;=50,"C",R238&gt;=45,"D",R238&gt;=40,"E",R238&lt;40,"F")</f>
        <v>C</v>
      </c>
      <c r="S239" s="51" t="str" cm="1">
        <f t="array" ref="S239">_xlfn.IFS(S238&gt;= 70,"A",S238&gt;=60,"B",S238&gt;=50,"C",S238&gt;=45,"D",S238&gt;=40,"E",S238&lt;40,"F")</f>
        <v>C</v>
      </c>
      <c r="T239" s="51" t="str" cm="1">
        <f t="array" ref="T239">_xlfn.IFS(T238&gt;= 70,"A",T238&gt;=60,"B",T238&gt;=50,"C",T238&gt;=45,"D",T238&gt;=40,"E",T238&lt;40,"F")</f>
        <v>C</v>
      </c>
      <c r="U239" s="51" t="str" cm="1">
        <f t="array" ref="U239">_xlfn.IFS(U238&gt;= 70,"A",U238&gt;=60,"B",U238&gt;=50,"C",U238&gt;=45,"D",U238&gt;=40,"E",U238&lt;40,"F")</f>
        <v>C</v>
      </c>
      <c r="V239" s="51" t="str" cm="1">
        <f t="array" ref="V239">_xlfn.IFS(V238&gt;= 70,"A",V238&gt;=60,"B",V238&gt;=50,"C",V238&gt;=45,"D",V238&gt;=40,"E",V238&lt;40,"F")</f>
        <v>C</v>
      </c>
      <c r="W239" s="50" t="str" cm="1">
        <f t="array" ref="W239">_xlfn.IFS(W238&gt;= 70,"A",W238&gt;=60,"B",W238&gt;=50,"C",W238&gt;=45,"D",W238&gt;=40,"E",W238&lt;40,"F")</f>
        <v>C</v>
      </c>
      <c r="X239" s="7"/>
      <c r="Y239" s="7"/>
      <c r="Z239" s="7"/>
      <c r="AA239" s="7"/>
      <c r="AB239" s="7"/>
      <c r="AC239" s="7"/>
      <c r="AD239" s="7"/>
      <c r="AE239" s="7"/>
      <c r="AF239" s="7"/>
      <c r="AM239" s="56">
        <f t="shared" ref="AM239" si="461">SUMIFS($I$4:$W$4,I238:W238,"&gt;0")</f>
        <v>23</v>
      </c>
      <c r="AN239" s="47">
        <f t="shared" ref="AN239" si="462">(SUMIFS($I$4:$W$4,I238:W238,"&gt;0")-SUMIFS($I$4:$W$4,I239:W239,"F"))</f>
        <v>23</v>
      </c>
      <c r="AO239" s="56">
        <f t="shared" ref="AO239" si="463">SUMIFS($I$4:$W$4,I239:W239,"F")</f>
        <v>0</v>
      </c>
      <c r="AP239" s="76"/>
      <c r="AQ239" s="74"/>
      <c r="AR239" s="71"/>
    </row>
    <row r="240" spans="1:44" ht="15" thickTop="1" x14ac:dyDescent="0.3">
      <c r="A240" s="68">
        <v>118</v>
      </c>
      <c r="B240" s="70"/>
      <c r="C240" s="75"/>
      <c r="D240" s="84"/>
      <c r="E240" s="84"/>
      <c r="F240" s="84"/>
      <c r="G240" s="84"/>
      <c r="H240" s="85"/>
      <c r="I240" s="49">
        <v>56</v>
      </c>
      <c r="J240" s="49">
        <v>46</v>
      </c>
      <c r="K240" s="49">
        <v>47</v>
      </c>
      <c r="L240" s="49">
        <v>48</v>
      </c>
      <c r="M240" s="49">
        <v>49</v>
      </c>
      <c r="N240" s="49">
        <v>50</v>
      </c>
      <c r="O240" s="49">
        <v>51</v>
      </c>
      <c r="P240" s="49">
        <v>52</v>
      </c>
      <c r="Q240" s="49">
        <v>53</v>
      </c>
      <c r="R240" s="49">
        <v>54</v>
      </c>
      <c r="S240" s="49">
        <v>55</v>
      </c>
      <c r="T240" s="49">
        <v>56</v>
      </c>
      <c r="U240" s="49">
        <v>57</v>
      </c>
      <c r="V240" s="49">
        <v>58</v>
      </c>
      <c r="W240" s="49">
        <v>59</v>
      </c>
      <c r="X240" s="7"/>
      <c r="Y240" s="7"/>
      <c r="Z240" s="7"/>
      <c r="AA240" s="7"/>
      <c r="AB240" s="7"/>
      <c r="AC240" s="7"/>
      <c r="AD240" s="7"/>
      <c r="AE240" s="7"/>
      <c r="AF240" s="7"/>
      <c r="AM240" s="59"/>
      <c r="AN240" s="46"/>
      <c r="AO240" s="59"/>
      <c r="AP240" s="75" cm="1">
        <f t="array" ref="AP240">SUM(VLOOKUP(I241:W241,GRADEPOINT!$A$2:$B$7,2,0)*$I$4:$W$4)</f>
        <v>63</v>
      </c>
      <c r="AQ240" s="73">
        <f t="shared" ref="AQ240" si="464">ROUND(AP240/AM241,2)</f>
        <v>2.74</v>
      </c>
      <c r="AR240" s="72"/>
    </row>
    <row r="241" spans="1:44" ht="15" thickBot="1" x14ac:dyDescent="0.35">
      <c r="A241" s="69"/>
      <c r="B241" s="71"/>
      <c r="C241" s="86"/>
      <c r="D241" s="87"/>
      <c r="E241" s="87"/>
      <c r="F241" s="87"/>
      <c r="G241" s="87"/>
      <c r="H241" s="88"/>
      <c r="I241" s="51" t="str" cm="1">
        <f t="array" ref="I241">_xlfn.IFS(I240&gt;= 70,"A",I240&gt;=60,"B",I240&gt;=50,"C",I240&gt;=45,"D",I240&gt;=40,"E",I240&lt;40,"F")</f>
        <v>C</v>
      </c>
      <c r="J241" s="51" t="str" cm="1">
        <f t="array" ref="J241">_xlfn.IFS(J240&gt;= 70,"A",J240&gt;=60,"B",J240&gt;=50,"C",J240&gt;=45,"D",J240&gt;=40,"E",J240&lt;40,"F")</f>
        <v>D</v>
      </c>
      <c r="K241" s="51" t="str" cm="1">
        <f t="array" ref="K241">_xlfn.IFS(K240&gt;= 70,"A",K240&gt;=60,"B",K240&gt;=50,"C",K240&gt;=45,"D",K240&gt;=40,"E",K240&lt;40,"F")</f>
        <v>D</v>
      </c>
      <c r="L241" s="50" t="str" cm="1">
        <f t="array" ref="L241">_xlfn.IFS(L240&gt;= 70,"A",L240&gt;=60,"B",L240&gt;=50,"C",L240&gt;=45,"D",L240&gt;=40,"E",L240&lt;40,"F")</f>
        <v>D</v>
      </c>
      <c r="M241" s="51" t="str" cm="1">
        <f t="array" ref="M241">_xlfn.IFS(M240&gt;= 70,"A",M240&gt;=60,"B",M240&gt;=50,"C",M240&gt;=45,"D",M240&gt;=40,"E",M240&lt;40,"F")</f>
        <v>D</v>
      </c>
      <c r="N241" s="51" t="str" cm="1">
        <f t="array" ref="N241">_xlfn.IFS(N240&gt;= 70,"A",N240&gt;=60,"B",N240&gt;=50,"C",N240&gt;=45,"D",N240&gt;=40,"E",N240&lt;40,"F")</f>
        <v>C</v>
      </c>
      <c r="O241" s="51" t="str" cm="1">
        <f t="array" ref="O241">_xlfn.IFS(O240&gt;= 70,"A",O240&gt;=60,"B",O240&gt;=50,"C",O240&gt;=45,"D",O240&gt;=40,"E",O240&lt;40,"F")</f>
        <v>C</v>
      </c>
      <c r="P241" s="51" t="str" cm="1">
        <f t="array" ref="P241">_xlfn.IFS(P240&gt;= 70,"A",P240&gt;=60,"B",P240&gt;=50,"C",P240&gt;=45,"D",P240&gt;=40,"E",P240&lt;40,"F")</f>
        <v>C</v>
      </c>
      <c r="Q241" s="51" t="str" cm="1">
        <f t="array" ref="Q241">_xlfn.IFS(Q240&gt;= 70,"A",Q240&gt;=60,"B",Q240&gt;=50,"C",Q240&gt;=45,"D",Q240&gt;=40,"E",Q240&lt;40,"F")</f>
        <v>C</v>
      </c>
      <c r="R241" s="51" t="str" cm="1">
        <f t="array" ref="R241">_xlfn.IFS(R240&gt;= 70,"A",R240&gt;=60,"B",R240&gt;=50,"C",R240&gt;=45,"D",R240&gt;=40,"E",R240&lt;40,"F")</f>
        <v>C</v>
      </c>
      <c r="S241" s="51" t="str" cm="1">
        <f t="array" ref="S241">_xlfn.IFS(S240&gt;= 70,"A",S240&gt;=60,"B",S240&gt;=50,"C",S240&gt;=45,"D",S240&gt;=40,"E",S240&lt;40,"F")</f>
        <v>C</v>
      </c>
      <c r="T241" s="51" t="str" cm="1">
        <f t="array" ref="T241">_xlfn.IFS(T240&gt;= 70,"A",T240&gt;=60,"B",T240&gt;=50,"C",T240&gt;=45,"D",T240&gt;=40,"E",T240&lt;40,"F")</f>
        <v>C</v>
      </c>
      <c r="U241" s="51" t="str" cm="1">
        <f t="array" ref="U241">_xlfn.IFS(U240&gt;= 70,"A",U240&gt;=60,"B",U240&gt;=50,"C",U240&gt;=45,"D",U240&gt;=40,"E",U240&lt;40,"F")</f>
        <v>C</v>
      </c>
      <c r="V241" s="51" t="str" cm="1">
        <f t="array" ref="V241">_xlfn.IFS(V240&gt;= 70,"A",V240&gt;=60,"B",V240&gt;=50,"C",V240&gt;=45,"D",V240&gt;=40,"E",V240&lt;40,"F")</f>
        <v>C</v>
      </c>
      <c r="W241" s="50" t="str" cm="1">
        <f t="array" ref="W241">_xlfn.IFS(W240&gt;= 70,"A",W240&gt;=60,"B",W240&gt;=50,"C",W240&gt;=45,"D",W240&gt;=40,"E",W240&lt;40,"F")</f>
        <v>C</v>
      </c>
      <c r="X241" s="7"/>
      <c r="Y241" s="7"/>
      <c r="Z241" s="7"/>
      <c r="AA241" s="7"/>
      <c r="AB241" s="7"/>
      <c r="AC241" s="7"/>
      <c r="AD241" s="7"/>
      <c r="AE241" s="7"/>
      <c r="AF241" s="7"/>
      <c r="AM241" s="56">
        <f t="shared" ref="AM241" si="465">SUMIFS($I$4:$W$4,I240:W240,"&gt;0")</f>
        <v>23</v>
      </c>
      <c r="AN241" s="47">
        <f t="shared" ref="AN241" si="466">(SUMIFS($I$4:$W$4,I240:W240,"&gt;0")-SUMIFS($I$4:$W$4,I241:W241,"F"))</f>
        <v>23</v>
      </c>
      <c r="AO241" s="56">
        <f t="shared" ref="AO241" si="467">SUMIFS($I$4:$W$4,I241:W241,"F")</f>
        <v>0</v>
      </c>
      <c r="AP241" s="76"/>
      <c r="AQ241" s="74"/>
      <c r="AR241" s="71"/>
    </row>
    <row r="242" spans="1:44" ht="15" thickTop="1" x14ac:dyDescent="0.3">
      <c r="A242" s="68">
        <v>119</v>
      </c>
      <c r="B242" s="70"/>
      <c r="C242" s="75"/>
      <c r="D242" s="84"/>
      <c r="E242" s="84"/>
      <c r="F242" s="84"/>
      <c r="G242" s="84"/>
      <c r="H242" s="85"/>
      <c r="I242" s="49">
        <v>56</v>
      </c>
      <c r="J242" s="49">
        <v>46</v>
      </c>
      <c r="K242" s="49">
        <v>47</v>
      </c>
      <c r="L242" s="49">
        <v>48</v>
      </c>
      <c r="M242" s="49">
        <v>49</v>
      </c>
      <c r="N242" s="49">
        <v>50</v>
      </c>
      <c r="O242" s="49">
        <v>51</v>
      </c>
      <c r="P242" s="49">
        <v>52</v>
      </c>
      <c r="Q242" s="49">
        <v>53</v>
      </c>
      <c r="R242" s="49">
        <v>54</v>
      </c>
      <c r="S242" s="49">
        <v>55</v>
      </c>
      <c r="T242" s="49">
        <v>56</v>
      </c>
      <c r="U242" s="49">
        <v>57</v>
      </c>
      <c r="V242" s="49">
        <v>58</v>
      </c>
      <c r="W242" s="49">
        <v>59</v>
      </c>
      <c r="X242" s="7"/>
      <c r="Y242" s="7"/>
      <c r="Z242" s="7"/>
      <c r="AA242" s="7"/>
      <c r="AB242" s="7"/>
      <c r="AC242" s="7"/>
      <c r="AD242" s="7"/>
      <c r="AE242" s="7"/>
      <c r="AF242" s="7"/>
      <c r="AM242" s="59"/>
      <c r="AN242" s="46"/>
      <c r="AO242" s="59"/>
      <c r="AP242" s="75" cm="1">
        <f t="array" ref="AP242">SUM(VLOOKUP(I243:W243,GRADEPOINT!$A$2:$B$7,2,0)*$I$4:$W$4)</f>
        <v>63</v>
      </c>
      <c r="AQ242" s="73">
        <f t="shared" ref="AQ242" si="468">ROUND(AP242/AM243,2)</f>
        <v>2.74</v>
      </c>
      <c r="AR242" s="72"/>
    </row>
    <row r="243" spans="1:44" ht="15" thickBot="1" x14ac:dyDescent="0.35">
      <c r="A243" s="69"/>
      <c r="B243" s="71"/>
      <c r="C243" s="86"/>
      <c r="D243" s="87"/>
      <c r="E243" s="87"/>
      <c r="F243" s="87"/>
      <c r="G243" s="87"/>
      <c r="H243" s="88"/>
      <c r="I243" s="51" t="str" cm="1">
        <f t="array" ref="I243">_xlfn.IFS(I242&gt;= 70,"A",I242&gt;=60,"B",I242&gt;=50,"C",I242&gt;=45,"D",I242&gt;=40,"E",I242&lt;40,"F")</f>
        <v>C</v>
      </c>
      <c r="J243" s="51" t="str" cm="1">
        <f t="array" ref="J243">_xlfn.IFS(J242&gt;= 70,"A",J242&gt;=60,"B",J242&gt;=50,"C",J242&gt;=45,"D",J242&gt;=40,"E",J242&lt;40,"F")</f>
        <v>D</v>
      </c>
      <c r="K243" s="51" t="str" cm="1">
        <f t="array" ref="K243">_xlfn.IFS(K242&gt;= 70,"A",K242&gt;=60,"B",K242&gt;=50,"C",K242&gt;=45,"D",K242&gt;=40,"E",K242&lt;40,"F")</f>
        <v>D</v>
      </c>
      <c r="L243" s="50" t="str" cm="1">
        <f t="array" ref="L243">_xlfn.IFS(L242&gt;= 70,"A",L242&gt;=60,"B",L242&gt;=50,"C",L242&gt;=45,"D",L242&gt;=40,"E",L242&lt;40,"F")</f>
        <v>D</v>
      </c>
      <c r="M243" s="51" t="str" cm="1">
        <f t="array" ref="M243">_xlfn.IFS(M242&gt;= 70,"A",M242&gt;=60,"B",M242&gt;=50,"C",M242&gt;=45,"D",M242&gt;=40,"E",M242&lt;40,"F")</f>
        <v>D</v>
      </c>
      <c r="N243" s="51" t="str" cm="1">
        <f t="array" ref="N243">_xlfn.IFS(N242&gt;= 70,"A",N242&gt;=60,"B",N242&gt;=50,"C",N242&gt;=45,"D",N242&gt;=40,"E",N242&lt;40,"F")</f>
        <v>C</v>
      </c>
      <c r="O243" s="51" t="str" cm="1">
        <f t="array" ref="O243">_xlfn.IFS(O242&gt;= 70,"A",O242&gt;=60,"B",O242&gt;=50,"C",O242&gt;=45,"D",O242&gt;=40,"E",O242&lt;40,"F")</f>
        <v>C</v>
      </c>
      <c r="P243" s="51" t="str" cm="1">
        <f t="array" ref="P243">_xlfn.IFS(P242&gt;= 70,"A",P242&gt;=60,"B",P242&gt;=50,"C",P242&gt;=45,"D",P242&gt;=40,"E",P242&lt;40,"F")</f>
        <v>C</v>
      </c>
      <c r="Q243" s="51" t="str" cm="1">
        <f t="array" ref="Q243">_xlfn.IFS(Q242&gt;= 70,"A",Q242&gt;=60,"B",Q242&gt;=50,"C",Q242&gt;=45,"D",Q242&gt;=40,"E",Q242&lt;40,"F")</f>
        <v>C</v>
      </c>
      <c r="R243" s="51" t="str" cm="1">
        <f t="array" ref="R243">_xlfn.IFS(R242&gt;= 70,"A",R242&gt;=60,"B",R242&gt;=50,"C",R242&gt;=45,"D",R242&gt;=40,"E",R242&lt;40,"F")</f>
        <v>C</v>
      </c>
      <c r="S243" s="51" t="str" cm="1">
        <f t="array" ref="S243">_xlfn.IFS(S242&gt;= 70,"A",S242&gt;=60,"B",S242&gt;=50,"C",S242&gt;=45,"D",S242&gt;=40,"E",S242&lt;40,"F")</f>
        <v>C</v>
      </c>
      <c r="T243" s="51" t="str" cm="1">
        <f t="array" ref="T243">_xlfn.IFS(T242&gt;= 70,"A",T242&gt;=60,"B",T242&gt;=50,"C",T242&gt;=45,"D",T242&gt;=40,"E",T242&lt;40,"F")</f>
        <v>C</v>
      </c>
      <c r="U243" s="51" t="str" cm="1">
        <f t="array" ref="U243">_xlfn.IFS(U242&gt;= 70,"A",U242&gt;=60,"B",U242&gt;=50,"C",U242&gt;=45,"D",U242&gt;=40,"E",U242&lt;40,"F")</f>
        <v>C</v>
      </c>
      <c r="V243" s="51" t="str" cm="1">
        <f t="array" ref="V243">_xlfn.IFS(V242&gt;= 70,"A",V242&gt;=60,"B",V242&gt;=50,"C",V242&gt;=45,"D",V242&gt;=40,"E",V242&lt;40,"F")</f>
        <v>C</v>
      </c>
      <c r="W243" s="50" t="str" cm="1">
        <f t="array" ref="W243">_xlfn.IFS(W242&gt;= 70,"A",W242&gt;=60,"B",W242&gt;=50,"C",W242&gt;=45,"D",W242&gt;=40,"E",W242&lt;40,"F")</f>
        <v>C</v>
      </c>
      <c r="X243" s="7"/>
      <c r="Y243" s="7"/>
      <c r="Z243" s="7"/>
      <c r="AA243" s="7"/>
      <c r="AB243" s="7"/>
      <c r="AC243" s="7"/>
      <c r="AD243" s="7"/>
      <c r="AE243" s="7"/>
      <c r="AF243" s="7"/>
      <c r="AM243" s="56">
        <f t="shared" ref="AM243" si="469">SUMIFS($I$4:$W$4,I242:W242,"&gt;0")</f>
        <v>23</v>
      </c>
      <c r="AN243" s="47">
        <f t="shared" ref="AN243" si="470">(SUMIFS($I$4:$W$4,I242:W242,"&gt;0")-SUMIFS($I$4:$W$4,I243:W243,"F"))</f>
        <v>23</v>
      </c>
      <c r="AO243" s="56">
        <f t="shared" ref="AO243" si="471">SUMIFS($I$4:$W$4,I243:W243,"F")</f>
        <v>0</v>
      </c>
      <c r="AP243" s="76"/>
      <c r="AQ243" s="74"/>
      <c r="AR243" s="71"/>
    </row>
    <row r="244" spans="1:44" ht="15" thickTop="1" x14ac:dyDescent="0.3">
      <c r="A244" s="68">
        <v>120</v>
      </c>
      <c r="B244" s="70"/>
      <c r="C244" s="75"/>
      <c r="D244" s="84"/>
      <c r="E244" s="84"/>
      <c r="F244" s="84"/>
      <c r="G244" s="84"/>
      <c r="H244" s="85"/>
      <c r="I244" s="49">
        <v>56</v>
      </c>
      <c r="J244" s="49">
        <v>46</v>
      </c>
      <c r="K244" s="49">
        <v>47</v>
      </c>
      <c r="L244" s="49">
        <v>48</v>
      </c>
      <c r="M244" s="49">
        <v>49</v>
      </c>
      <c r="N244" s="49">
        <v>50</v>
      </c>
      <c r="O244" s="49">
        <v>51</v>
      </c>
      <c r="P244" s="49">
        <v>52</v>
      </c>
      <c r="Q244" s="49">
        <v>53</v>
      </c>
      <c r="R244" s="49">
        <v>54</v>
      </c>
      <c r="S244" s="49">
        <v>55</v>
      </c>
      <c r="T244" s="49">
        <v>56</v>
      </c>
      <c r="U244" s="49">
        <v>57</v>
      </c>
      <c r="V244" s="49">
        <v>58</v>
      </c>
      <c r="W244" s="49">
        <v>59</v>
      </c>
      <c r="X244" s="7"/>
      <c r="Y244" s="7"/>
      <c r="Z244" s="7"/>
      <c r="AA244" s="7"/>
      <c r="AB244" s="7"/>
      <c r="AC244" s="7"/>
      <c r="AD244" s="7"/>
      <c r="AE244" s="7"/>
      <c r="AF244" s="7"/>
      <c r="AM244" s="59"/>
      <c r="AN244" s="46"/>
      <c r="AO244" s="59"/>
      <c r="AP244" s="75" cm="1">
        <f t="array" ref="AP244">SUM(VLOOKUP(I245:W245,GRADEPOINT!$A$2:$B$7,2,0)*$I$4:$W$4)</f>
        <v>63</v>
      </c>
      <c r="AQ244" s="73">
        <f t="shared" ref="AQ244" si="472">ROUND(AP244/AM245,2)</f>
        <v>2.74</v>
      </c>
      <c r="AR244" s="72"/>
    </row>
    <row r="245" spans="1:44" ht="15" thickBot="1" x14ac:dyDescent="0.35">
      <c r="A245" s="69"/>
      <c r="B245" s="71"/>
      <c r="C245" s="86"/>
      <c r="D245" s="87"/>
      <c r="E245" s="87"/>
      <c r="F245" s="87"/>
      <c r="G245" s="87"/>
      <c r="H245" s="88"/>
      <c r="I245" s="51" t="str" cm="1">
        <f t="array" ref="I245">_xlfn.IFS(I244&gt;= 70,"A",I244&gt;=60,"B",I244&gt;=50,"C",I244&gt;=45,"D",I244&gt;=40,"E",I244&lt;40,"F")</f>
        <v>C</v>
      </c>
      <c r="J245" s="51" t="str" cm="1">
        <f t="array" ref="J245">_xlfn.IFS(J244&gt;= 70,"A",J244&gt;=60,"B",J244&gt;=50,"C",J244&gt;=45,"D",J244&gt;=40,"E",J244&lt;40,"F")</f>
        <v>D</v>
      </c>
      <c r="K245" s="51" t="str" cm="1">
        <f t="array" ref="K245">_xlfn.IFS(K244&gt;= 70,"A",K244&gt;=60,"B",K244&gt;=50,"C",K244&gt;=45,"D",K244&gt;=40,"E",K244&lt;40,"F")</f>
        <v>D</v>
      </c>
      <c r="L245" s="50" t="str" cm="1">
        <f t="array" ref="L245">_xlfn.IFS(L244&gt;= 70,"A",L244&gt;=60,"B",L244&gt;=50,"C",L244&gt;=45,"D",L244&gt;=40,"E",L244&lt;40,"F")</f>
        <v>D</v>
      </c>
      <c r="M245" s="51" t="str" cm="1">
        <f t="array" ref="M245">_xlfn.IFS(M244&gt;= 70,"A",M244&gt;=60,"B",M244&gt;=50,"C",M244&gt;=45,"D",M244&gt;=40,"E",M244&lt;40,"F")</f>
        <v>D</v>
      </c>
      <c r="N245" s="51" t="str" cm="1">
        <f t="array" ref="N245">_xlfn.IFS(N244&gt;= 70,"A",N244&gt;=60,"B",N244&gt;=50,"C",N244&gt;=45,"D",N244&gt;=40,"E",N244&lt;40,"F")</f>
        <v>C</v>
      </c>
      <c r="O245" s="51" t="str" cm="1">
        <f t="array" ref="O245">_xlfn.IFS(O244&gt;= 70,"A",O244&gt;=60,"B",O244&gt;=50,"C",O244&gt;=45,"D",O244&gt;=40,"E",O244&lt;40,"F")</f>
        <v>C</v>
      </c>
      <c r="P245" s="51" t="str" cm="1">
        <f t="array" ref="P245">_xlfn.IFS(P244&gt;= 70,"A",P244&gt;=60,"B",P244&gt;=50,"C",P244&gt;=45,"D",P244&gt;=40,"E",P244&lt;40,"F")</f>
        <v>C</v>
      </c>
      <c r="Q245" s="51" t="str" cm="1">
        <f t="array" ref="Q245">_xlfn.IFS(Q244&gt;= 70,"A",Q244&gt;=60,"B",Q244&gt;=50,"C",Q244&gt;=45,"D",Q244&gt;=40,"E",Q244&lt;40,"F")</f>
        <v>C</v>
      </c>
      <c r="R245" s="51" t="str" cm="1">
        <f t="array" ref="R245">_xlfn.IFS(R244&gt;= 70,"A",R244&gt;=60,"B",R244&gt;=50,"C",R244&gt;=45,"D",R244&gt;=40,"E",R244&lt;40,"F")</f>
        <v>C</v>
      </c>
      <c r="S245" s="51" t="str" cm="1">
        <f t="array" ref="S245">_xlfn.IFS(S244&gt;= 70,"A",S244&gt;=60,"B",S244&gt;=50,"C",S244&gt;=45,"D",S244&gt;=40,"E",S244&lt;40,"F")</f>
        <v>C</v>
      </c>
      <c r="T245" s="51" t="str" cm="1">
        <f t="array" ref="T245">_xlfn.IFS(T244&gt;= 70,"A",T244&gt;=60,"B",T244&gt;=50,"C",T244&gt;=45,"D",T244&gt;=40,"E",T244&lt;40,"F")</f>
        <v>C</v>
      </c>
      <c r="U245" s="51" t="str" cm="1">
        <f t="array" ref="U245">_xlfn.IFS(U244&gt;= 70,"A",U244&gt;=60,"B",U244&gt;=50,"C",U244&gt;=45,"D",U244&gt;=40,"E",U244&lt;40,"F")</f>
        <v>C</v>
      </c>
      <c r="V245" s="51" t="str" cm="1">
        <f t="array" ref="V245">_xlfn.IFS(V244&gt;= 70,"A",V244&gt;=60,"B",V244&gt;=50,"C",V244&gt;=45,"D",V244&gt;=40,"E",V244&lt;40,"F")</f>
        <v>C</v>
      </c>
      <c r="W245" s="50" t="str" cm="1">
        <f t="array" ref="W245">_xlfn.IFS(W244&gt;= 70,"A",W244&gt;=60,"B",W244&gt;=50,"C",W244&gt;=45,"D",W244&gt;=40,"E",W244&lt;40,"F")</f>
        <v>C</v>
      </c>
      <c r="X245" s="7"/>
      <c r="Y245" s="7"/>
      <c r="Z245" s="7"/>
      <c r="AA245" s="7"/>
      <c r="AB245" s="7"/>
      <c r="AC245" s="7"/>
      <c r="AD245" s="7"/>
      <c r="AE245" s="7"/>
      <c r="AF245" s="7"/>
      <c r="AM245" s="56">
        <f t="shared" ref="AM245" si="473">SUMIFS($I$4:$W$4,I244:W244,"&gt;0")</f>
        <v>23</v>
      </c>
      <c r="AN245" s="47">
        <f t="shared" ref="AN245" si="474">(SUMIFS($I$4:$W$4,I244:W244,"&gt;0")-SUMIFS($I$4:$W$4,I245:W245,"F"))</f>
        <v>23</v>
      </c>
      <c r="AO245" s="56">
        <f t="shared" ref="AO245" si="475">SUMIFS($I$4:$W$4,I245:W245,"F")</f>
        <v>0</v>
      </c>
      <c r="AP245" s="76"/>
      <c r="AQ245" s="74"/>
      <c r="AR245" s="71"/>
    </row>
    <row r="246" spans="1:44" ht="15" thickTop="1" x14ac:dyDescent="0.3">
      <c r="A246" s="68">
        <v>121</v>
      </c>
      <c r="B246" s="70"/>
      <c r="C246" s="75"/>
      <c r="D246" s="84"/>
      <c r="E246" s="84"/>
      <c r="F246" s="84"/>
      <c r="G246" s="84"/>
      <c r="H246" s="85"/>
      <c r="I246" s="49">
        <v>56</v>
      </c>
      <c r="J246" s="49">
        <v>46</v>
      </c>
      <c r="K246" s="49">
        <v>47</v>
      </c>
      <c r="L246" s="49">
        <v>48</v>
      </c>
      <c r="M246" s="49">
        <v>49</v>
      </c>
      <c r="N246" s="49">
        <v>50</v>
      </c>
      <c r="O246" s="49">
        <v>51</v>
      </c>
      <c r="P246" s="49">
        <v>52</v>
      </c>
      <c r="Q246" s="49">
        <v>53</v>
      </c>
      <c r="R246" s="49">
        <v>54</v>
      </c>
      <c r="S246" s="49">
        <v>55</v>
      </c>
      <c r="T246" s="49">
        <v>56</v>
      </c>
      <c r="U246" s="49">
        <v>57</v>
      </c>
      <c r="V246" s="49">
        <v>58</v>
      </c>
      <c r="W246" s="49">
        <v>59</v>
      </c>
      <c r="X246" s="7"/>
      <c r="Y246" s="7"/>
      <c r="Z246" s="7"/>
      <c r="AA246" s="7"/>
      <c r="AB246" s="7"/>
      <c r="AC246" s="7"/>
      <c r="AD246" s="7"/>
      <c r="AE246" s="7"/>
      <c r="AF246" s="7"/>
      <c r="AM246" s="59"/>
      <c r="AN246" s="46"/>
      <c r="AO246" s="59"/>
      <c r="AP246" s="75" cm="1">
        <f t="array" ref="AP246">SUM(VLOOKUP(I247:W247,GRADEPOINT!$A$2:$B$7,2,0)*$I$4:$W$4)</f>
        <v>63</v>
      </c>
      <c r="AQ246" s="73">
        <f t="shared" ref="AQ246" si="476">ROUND(AP246/AM247,2)</f>
        <v>2.74</v>
      </c>
      <c r="AR246" s="72"/>
    </row>
    <row r="247" spans="1:44" ht="15" thickBot="1" x14ac:dyDescent="0.35">
      <c r="A247" s="69"/>
      <c r="B247" s="71"/>
      <c r="C247" s="86"/>
      <c r="D247" s="87"/>
      <c r="E247" s="87"/>
      <c r="F247" s="87"/>
      <c r="G247" s="87"/>
      <c r="H247" s="88"/>
      <c r="I247" s="51" t="str" cm="1">
        <f t="array" ref="I247">_xlfn.IFS(I246&gt;= 70,"A",I246&gt;=60,"B",I246&gt;=50,"C",I246&gt;=45,"D",I246&gt;=40,"E",I246&lt;40,"F")</f>
        <v>C</v>
      </c>
      <c r="J247" s="51" t="str" cm="1">
        <f t="array" ref="J247">_xlfn.IFS(J246&gt;= 70,"A",J246&gt;=60,"B",J246&gt;=50,"C",J246&gt;=45,"D",J246&gt;=40,"E",J246&lt;40,"F")</f>
        <v>D</v>
      </c>
      <c r="K247" s="51" t="str" cm="1">
        <f t="array" ref="K247">_xlfn.IFS(K246&gt;= 70,"A",K246&gt;=60,"B",K246&gt;=50,"C",K246&gt;=45,"D",K246&gt;=40,"E",K246&lt;40,"F")</f>
        <v>D</v>
      </c>
      <c r="L247" s="50" t="str" cm="1">
        <f t="array" ref="L247">_xlfn.IFS(L246&gt;= 70,"A",L246&gt;=60,"B",L246&gt;=50,"C",L246&gt;=45,"D",L246&gt;=40,"E",L246&lt;40,"F")</f>
        <v>D</v>
      </c>
      <c r="M247" s="51" t="str" cm="1">
        <f t="array" ref="M247">_xlfn.IFS(M246&gt;= 70,"A",M246&gt;=60,"B",M246&gt;=50,"C",M246&gt;=45,"D",M246&gt;=40,"E",M246&lt;40,"F")</f>
        <v>D</v>
      </c>
      <c r="N247" s="51" t="str" cm="1">
        <f t="array" ref="N247">_xlfn.IFS(N246&gt;= 70,"A",N246&gt;=60,"B",N246&gt;=50,"C",N246&gt;=45,"D",N246&gt;=40,"E",N246&lt;40,"F")</f>
        <v>C</v>
      </c>
      <c r="O247" s="51" t="str" cm="1">
        <f t="array" ref="O247">_xlfn.IFS(O246&gt;= 70,"A",O246&gt;=60,"B",O246&gt;=50,"C",O246&gt;=45,"D",O246&gt;=40,"E",O246&lt;40,"F")</f>
        <v>C</v>
      </c>
      <c r="P247" s="51" t="str" cm="1">
        <f t="array" ref="P247">_xlfn.IFS(P246&gt;= 70,"A",P246&gt;=60,"B",P246&gt;=50,"C",P246&gt;=45,"D",P246&gt;=40,"E",P246&lt;40,"F")</f>
        <v>C</v>
      </c>
      <c r="Q247" s="51" t="str" cm="1">
        <f t="array" ref="Q247">_xlfn.IFS(Q246&gt;= 70,"A",Q246&gt;=60,"B",Q246&gt;=50,"C",Q246&gt;=45,"D",Q246&gt;=40,"E",Q246&lt;40,"F")</f>
        <v>C</v>
      </c>
      <c r="R247" s="51" t="str" cm="1">
        <f t="array" ref="R247">_xlfn.IFS(R246&gt;= 70,"A",R246&gt;=60,"B",R246&gt;=50,"C",R246&gt;=45,"D",R246&gt;=40,"E",R246&lt;40,"F")</f>
        <v>C</v>
      </c>
      <c r="S247" s="51" t="str" cm="1">
        <f t="array" ref="S247">_xlfn.IFS(S246&gt;= 70,"A",S246&gt;=60,"B",S246&gt;=50,"C",S246&gt;=45,"D",S246&gt;=40,"E",S246&lt;40,"F")</f>
        <v>C</v>
      </c>
      <c r="T247" s="51" t="str" cm="1">
        <f t="array" ref="T247">_xlfn.IFS(T246&gt;= 70,"A",T246&gt;=60,"B",T246&gt;=50,"C",T246&gt;=45,"D",T246&gt;=40,"E",T246&lt;40,"F")</f>
        <v>C</v>
      </c>
      <c r="U247" s="51" t="str" cm="1">
        <f t="array" ref="U247">_xlfn.IFS(U246&gt;= 70,"A",U246&gt;=60,"B",U246&gt;=50,"C",U246&gt;=45,"D",U246&gt;=40,"E",U246&lt;40,"F")</f>
        <v>C</v>
      </c>
      <c r="V247" s="51" t="str" cm="1">
        <f t="array" ref="V247">_xlfn.IFS(V246&gt;= 70,"A",V246&gt;=60,"B",V246&gt;=50,"C",V246&gt;=45,"D",V246&gt;=40,"E",V246&lt;40,"F")</f>
        <v>C</v>
      </c>
      <c r="W247" s="50" t="str" cm="1">
        <f t="array" ref="W247">_xlfn.IFS(W246&gt;= 70,"A",W246&gt;=60,"B",W246&gt;=50,"C",W246&gt;=45,"D",W246&gt;=40,"E",W246&lt;40,"F")</f>
        <v>C</v>
      </c>
      <c r="X247" s="7"/>
      <c r="Y247" s="7"/>
      <c r="Z247" s="7"/>
      <c r="AA247" s="7"/>
      <c r="AB247" s="7"/>
      <c r="AC247" s="7"/>
      <c r="AD247" s="7"/>
      <c r="AE247" s="7"/>
      <c r="AF247" s="7"/>
      <c r="AM247" s="56">
        <f t="shared" ref="AM247" si="477">SUMIFS($I$4:$W$4,I246:W246,"&gt;0")</f>
        <v>23</v>
      </c>
      <c r="AN247" s="47">
        <f t="shared" ref="AN247" si="478">(SUMIFS($I$4:$W$4,I246:W246,"&gt;0")-SUMIFS($I$4:$W$4,I247:W247,"F"))</f>
        <v>23</v>
      </c>
      <c r="AO247" s="56">
        <f t="shared" ref="AO247" si="479">SUMIFS($I$4:$W$4,I247:W247,"F")</f>
        <v>0</v>
      </c>
      <c r="AP247" s="76"/>
      <c r="AQ247" s="74"/>
      <c r="AR247" s="71"/>
    </row>
    <row r="248" spans="1:44" ht="15" thickTop="1" x14ac:dyDescent="0.3">
      <c r="A248" s="68">
        <v>122</v>
      </c>
      <c r="B248" s="70"/>
      <c r="C248" s="75"/>
      <c r="D248" s="84"/>
      <c r="E248" s="84"/>
      <c r="F248" s="84"/>
      <c r="G248" s="84"/>
      <c r="H248" s="85"/>
      <c r="I248" s="49">
        <v>56</v>
      </c>
      <c r="J248" s="49">
        <v>46</v>
      </c>
      <c r="K248" s="49">
        <v>47</v>
      </c>
      <c r="L248" s="49">
        <v>48</v>
      </c>
      <c r="M248" s="49">
        <v>49</v>
      </c>
      <c r="N248" s="49">
        <v>50</v>
      </c>
      <c r="O248" s="49">
        <v>51</v>
      </c>
      <c r="P248" s="49">
        <v>52</v>
      </c>
      <c r="Q248" s="49">
        <v>53</v>
      </c>
      <c r="R248" s="49">
        <v>54</v>
      </c>
      <c r="S248" s="49">
        <v>55</v>
      </c>
      <c r="T248" s="49">
        <v>56</v>
      </c>
      <c r="U248" s="49">
        <v>57</v>
      </c>
      <c r="V248" s="49">
        <v>58</v>
      </c>
      <c r="W248" s="49">
        <v>59</v>
      </c>
      <c r="X248" s="7"/>
      <c r="Y248" s="7"/>
      <c r="Z248" s="7"/>
      <c r="AA248" s="7"/>
      <c r="AB248" s="7"/>
      <c r="AC248" s="7"/>
      <c r="AD248" s="7"/>
      <c r="AE248" s="7"/>
      <c r="AF248" s="7"/>
      <c r="AM248" s="59"/>
      <c r="AN248" s="46"/>
      <c r="AO248" s="59"/>
      <c r="AP248" s="75" cm="1">
        <f t="array" ref="AP248">SUM(VLOOKUP(I249:W249,GRADEPOINT!$A$2:$B$7,2,0)*$I$4:$W$4)</f>
        <v>63</v>
      </c>
      <c r="AQ248" s="73">
        <f t="shared" ref="AQ248" si="480">ROUND(AP248/AM249,2)</f>
        <v>2.74</v>
      </c>
      <c r="AR248" s="72"/>
    </row>
    <row r="249" spans="1:44" ht="15" thickBot="1" x14ac:dyDescent="0.35">
      <c r="A249" s="69"/>
      <c r="B249" s="71"/>
      <c r="C249" s="86"/>
      <c r="D249" s="87"/>
      <c r="E249" s="87"/>
      <c r="F249" s="87"/>
      <c r="G249" s="87"/>
      <c r="H249" s="88"/>
      <c r="I249" s="51" t="str" cm="1">
        <f t="array" ref="I249">_xlfn.IFS(I248&gt;= 70,"A",I248&gt;=60,"B",I248&gt;=50,"C",I248&gt;=45,"D",I248&gt;=40,"E",I248&lt;40,"F")</f>
        <v>C</v>
      </c>
      <c r="J249" s="51" t="str" cm="1">
        <f t="array" ref="J249">_xlfn.IFS(J248&gt;= 70,"A",J248&gt;=60,"B",J248&gt;=50,"C",J248&gt;=45,"D",J248&gt;=40,"E",J248&lt;40,"F")</f>
        <v>D</v>
      </c>
      <c r="K249" s="51" t="str" cm="1">
        <f t="array" ref="K249">_xlfn.IFS(K248&gt;= 70,"A",K248&gt;=60,"B",K248&gt;=50,"C",K248&gt;=45,"D",K248&gt;=40,"E",K248&lt;40,"F")</f>
        <v>D</v>
      </c>
      <c r="L249" s="50" t="str" cm="1">
        <f t="array" ref="L249">_xlfn.IFS(L248&gt;= 70,"A",L248&gt;=60,"B",L248&gt;=50,"C",L248&gt;=45,"D",L248&gt;=40,"E",L248&lt;40,"F")</f>
        <v>D</v>
      </c>
      <c r="M249" s="51" t="str" cm="1">
        <f t="array" ref="M249">_xlfn.IFS(M248&gt;= 70,"A",M248&gt;=60,"B",M248&gt;=50,"C",M248&gt;=45,"D",M248&gt;=40,"E",M248&lt;40,"F")</f>
        <v>D</v>
      </c>
      <c r="N249" s="51" t="str" cm="1">
        <f t="array" ref="N249">_xlfn.IFS(N248&gt;= 70,"A",N248&gt;=60,"B",N248&gt;=50,"C",N248&gt;=45,"D",N248&gt;=40,"E",N248&lt;40,"F")</f>
        <v>C</v>
      </c>
      <c r="O249" s="51" t="str" cm="1">
        <f t="array" ref="O249">_xlfn.IFS(O248&gt;= 70,"A",O248&gt;=60,"B",O248&gt;=50,"C",O248&gt;=45,"D",O248&gt;=40,"E",O248&lt;40,"F")</f>
        <v>C</v>
      </c>
      <c r="P249" s="51" t="str" cm="1">
        <f t="array" ref="P249">_xlfn.IFS(P248&gt;= 70,"A",P248&gt;=60,"B",P248&gt;=50,"C",P248&gt;=45,"D",P248&gt;=40,"E",P248&lt;40,"F")</f>
        <v>C</v>
      </c>
      <c r="Q249" s="51" t="str" cm="1">
        <f t="array" ref="Q249">_xlfn.IFS(Q248&gt;= 70,"A",Q248&gt;=60,"B",Q248&gt;=50,"C",Q248&gt;=45,"D",Q248&gt;=40,"E",Q248&lt;40,"F")</f>
        <v>C</v>
      </c>
      <c r="R249" s="51" t="str" cm="1">
        <f t="array" ref="R249">_xlfn.IFS(R248&gt;= 70,"A",R248&gt;=60,"B",R248&gt;=50,"C",R248&gt;=45,"D",R248&gt;=40,"E",R248&lt;40,"F")</f>
        <v>C</v>
      </c>
      <c r="S249" s="51" t="str" cm="1">
        <f t="array" ref="S249">_xlfn.IFS(S248&gt;= 70,"A",S248&gt;=60,"B",S248&gt;=50,"C",S248&gt;=45,"D",S248&gt;=40,"E",S248&lt;40,"F")</f>
        <v>C</v>
      </c>
      <c r="T249" s="51" t="str" cm="1">
        <f t="array" ref="T249">_xlfn.IFS(T248&gt;= 70,"A",T248&gt;=60,"B",T248&gt;=50,"C",T248&gt;=45,"D",T248&gt;=40,"E",T248&lt;40,"F")</f>
        <v>C</v>
      </c>
      <c r="U249" s="51" t="str" cm="1">
        <f t="array" ref="U249">_xlfn.IFS(U248&gt;= 70,"A",U248&gt;=60,"B",U248&gt;=50,"C",U248&gt;=45,"D",U248&gt;=40,"E",U248&lt;40,"F")</f>
        <v>C</v>
      </c>
      <c r="V249" s="51" t="str" cm="1">
        <f t="array" ref="V249">_xlfn.IFS(V248&gt;= 70,"A",V248&gt;=60,"B",V248&gt;=50,"C",V248&gt;=45,"D",V248&gt;=40,"E",V248&lt;40,"F")</f>
        <v>C</v>
      </c>
      <c r="W249" s="50" t="str" cm="1">
        <f t="array" ref="W249">_xlfn.IFS(W248&gt;= 70,"A",W248&gt;=60,"B",W248&gt;=50,"C",W248&gt;=45,"D",W248&gt;=40,"E",W248&lt;40,"F")</f>
        <v>C</v>
      </c>
      <c r="X249" s="7"/>
      <c r="Y249" s="7"/>
      <c r="Z249" s="7"/>
      <c r="AA249" s="7"/>
      <c r="AB249" s="7"/>
      <c r="AC249" s="7"/>
      <c r="AD249" s="7"/>
      <c r="AE249" s="7"/>
      <c r="AF249" s="7"/>
      <c r="AM249" s="56">
        <f t="shared" ref="AM249" si="481">SUMIFS($I$4:$W$4,I248:W248,"&gt;0")</f>
        <v>23</v>
      </c>
      <c r="AN249" s="47">
        <f t="shared" ref="AN249" si="482">(SUMIFS($I$4:$W$4,I248:W248,"&gt;0")-SUMIFS($I$4:$W$4,I249:W249,"F"))</f>
        <v>23</v>
      </c>
      <c r="AO249" s="56">
        <f t="shared" ref="AO249" si="483">SUMIFS($I$4:$W$4,I249:W249,"F")</f>
        <v>0</v>
      </c>
      <c r="AP249" s="76"/>
      <c r="AQ249" s="74"/>
      <c r="AR249" s="71"/>
    </row>
    <row r="250" spans="1:44" ht="15" thickTop="1" x14ac:dyDescent="0.3">
      <c r="A250" s="68">
        <v>123</v>
      </c>
      <c r="B250" s="70"/>
      <c r="C250" s="75"/>
      <c r="D250" s="84"/>
      <c r="E250" s="84"/>
      <c r="F250" s="84"/>
      <c r="G250" s="84"/>
      <c r="H250" s="85"/>
      <c r="I250" s="49">
        <v>56</v>
      </c>
      <c r="J250" s="49">
        <v>46</v>
      </c>
      <c r="K250" s="49">
        <v>47</v>
      </c>
      <c r="L250" s="49">
        <v>48</v>
      </c>
      <c r="M250" s="49">
        <v>49</v>
      </c>
      <c r="N250" s="49">
        <v>50</v>
      </c>
      <c r="O250" s="49">
        <v>51</v>
      </c>
      <c r="P250" s="49">
        <v>52</v>
      </c>
      <c r="Q250" s="49">
        <v>53</v>
      </c>
      <c r="R250" s="49">
        <v>54</v>
      </c>
      <c r="S250" s="49">
        <v>55</v>
      </c>
      <c r="T250" s="49">
        <v>56</v>
      </c>
      <c r="U250" s="49">
        <v>57</v>
      </c>
      <c r="V250" s="49">
        <v>58</v>
      </c>
      <c r="W250" s="49">
        <v>59</v>
      </c>
      <c r="X250" s="7"/>
      <c r="Y250" s="7"/>
      <c r="Z250" s="7"/>
      <c r="AA250" s="7"/>
      <c r="AB250" s="7"/>
      <c r="AC250" s="7"/>
      <c r="AD250" s="7"/>
      <c r="AE250" s="7"/>
      <c r="AF250" s="7"/>
      <c r="AM250" s="59"/>
      <c r="AN250" s="46"/>
      <c r="AO250" s="59"/>
      <c r="AP250" s="75" cm="1">
        <f t="array" ref="AP250">SUM(VLOOKUP(I251:W251,GRADEPOINT!$A$2:$B$7,2,0)*$I$4:$W$4)</f>
        <v>63</v>
      </c>
      <c r="AQ250" s="73">
        <f t="shared" ref="AQ250" si="484">ROUND(AP250/AM251,2)</f>
        <v>2.74</v>
      </c>
      <c r="AR250" s="72"/>
    </row>
    <row r="251" spans="1:44" ht="15" thickBot="1" x14ac:dyDescent="0.35">
      <c r="A251" s="69"/>
      <c r="B251" s="71"/>
      <c r="C251" s="86"/>
      <c r="D251" s="87"/>
      <c r="E251" s="87"/>
      <c r="F251" s="87"/>
      <c r="G251" s="87"/>
      <c r="H251" s="88"/>
      <c r="I251" s="51" t="str" cm="1">
        <f t="array" ref="I251">_xlfn.IFS(I250&gt;= 70,"A",I250&gt;=60,"B",I250&gt;=50,"C",I250&gt;=45,"D",I250&gt;=40,"E",I250&lt;40,"F")</f>
        <v>C</v>
      </c>
      <c r="J251" s="51" t="str" cm="1">
        <f t="array" ref="J251">_xlfn.IFS(J250&gt;= 70,"A",J250&gt;=60,"B",J250&gt;=50,"C",J250&gt;=45,"D",J250&gt;=40,"E",J250&lt;40,"F")</f>
        <v>D</v>
      </c>
      <c r="K251" s="51" t="str" cm="1">
        <f t="array" ref="K251">_xlfn.IFS(K250&gt;= 70,"A",K250&gt;=60,"B",K250&gt;=50,"C",K250&gt;=45,"D",K250&gt;=40,"E",K250&lt;40,"F")</f>
        <v>D</v>
      </c>
      <c r="L251" s="50" t="str" cm="1">
        <f t="array" ref="L251">_xlfn.IFS(L250&gt;= 70,"A",L250&gt;=60,"B",L250&gt;=50,"C",L250&gt;=45,"D",L250&gt;=40,"E",L250&lt;40,"F")</f>
        <v>D</v>
      </c>
      <c r="M251" s="51" t="str" cm="1">
        <f t="array" ref="M251">_xlfn.IFS(M250&gt;= 70,"A",M250&gt;=60,"B",M250&gt;=50,"C",M250&gt;=45,"D",M250&gt;=40,"E",M250&lt;40,"F")</f>
        <v>D</v>
      </c>
      <c r="N251" s="51" t="str" cm="1">
        <f t="array" ref="N251">_xlfn.IFS(N250&gt;= 70,"A",N250&gt;=60,"B",N250&gt;=50,"C",N250&gt;=45,"D",N250&gt;=40,"E",N250&lt;40,"F")</f>
        <v>C</v>
      </c>
      <c r="O251" s="51" t="str" cm="1">
        <f t="array" ref="O251">_xlfn.IFS(O250&gt;= 70,"A",O250&gt;=60,"B",O250&gt;=50,"C",O250&gt;=45,"D",O250&gt;=40,"E",O250&lt;40,"F")</f>
        <v>C</v>
      </c>
      <c r="P251" s="51" t="str" cm="1">
        <f t="array" ref="P251">_xlfn.IFS(P250&gt;= 70,"A",P250&gt;=60,"B",P250&gt;=50,"C",P250&gt;=45,"D",P250&gt;=40,"E",P250&lt;40,"F")</f>
        <v>C</v>
      </c>
      <c r="Q251" s="51" t="str" cm="1">
        <f t="array" ref="Q251">_xlfn.IFS(Q250&gt;= 70,"A",Q250&gt;=60,"B",Q250&gt;=50,"C",Q250&gt;=45,"D",Q250&gt;=40,"E",Q250&lt;40,"F")</f>
        <v>C</v>
      </c>
      <c r="R251" s="51" t="str" cm="1">
        <f t="array" ref="R251">_xlfn.IFS(R250&gt;= 70,"A",R250&gt;=60,"B",R250&gt;=50,"C",R250&gt;=45,"D",R250&gt;=40,"E",R250&lt;40,"F")</f>
        <v>C</v>
      </c>
      <c r="S251" s="51" t="str" cm="1">
        <f t="array" ref="S251">_xlfn.IFS(S250&gt;= 70,"A",S250&gt;=60,"B",S250&gt;=50,"C",S250&gt;=45,"D",S250&gt;=40,"E",S250&lt;40,"F")</f>
        <v>C</v>
      </c>
      <c r="T251" s="51" t="str" cm="1">
        <f t="array" ref="T251">_xlfn.IFS(T250&gt;= 70,"A",T250&gt;=60,"B",T250&gt;=50,"C",T250&gt;=45,"D",T250&gt;=40,"E",T250&lt;40,"F")</f>
        <v>C</v>
      </c>
      <c r="U251" s="51" t="str" cm="1">
        <f t="array" ref="U251">_xlfn.IFS(U250&gt;= 70,"A",U250&gt;=60,"B",U250&gt;=50,"C",U250&gt;=45,"D",U250&gt;=40,"E",U250&lt;40,"F")</f>
        <v>C</v>
      </c>
      <c r="V251" s="51" t="str" cm="1">
        <f t="array" ref="V251">_xlfn.IFS(V250&gt;= 70,"A",V250&gt;=60,"B",V250&gt;=50,"C",V250&gt;=45,"D",V250&gt;=40,"E",V250&lt;40,"F")</f>
        <v>C</v>
      </c>
      <c r="W251" s="50" t="str" cm="1">
        <f t="array" ref="W251">_xlfn.IFS(W250&gt;= 70,"A",W250&gt;=60,"B",W250&gt;=50,"C",W250&gt;=45,"D",W250&gt;=40,"E",W250&lt;40,"F")</f>
        <v>C</v>
      </c>
      <c r="X251" s="7"/>
      <c r="Y251" s="7"/>
      <c r="Z251" s="7"/>
      <c r="AA251" s="7"/>
      <c r="AB251" s="7"/>
      <c r="AC251" s="7"/>
      <c r="AD251" s="7"/>
      <c r="AE251" s="7"/>
      <c r="AF251" s="7"/>
      <c r="AM251" s="56">
        <f t="shared" ref="AM251" si="485">SUMIFS($I$4:$W$4,I250:W250,"&gt;0")</f>
        <v>23</v>
      </c>
      <c r="AN251" s="47">
        <f t="shared" ref="AN251" si="486">(SUMIFS($I$4:$W$4,I250:W250,"&gt;0")-SUMIFS($I$4:$W$4,I251:W251,"F"))</f>
        <v>23</v>
      </c>
      <c r="AO251" s="56">
        <f t="shared" ref="AO251" si="487">SUMIFS($I$4:$W$4,I251:W251,"F")</f>
        <v>0</v>
      </c>
      <c r="AP251" s="76"/>
      <c r="AQ251" s="74"/>
      <c r="AR251" s="71"/>
    </row>
    <row r="252" spans="1:44" ht="15" thickTop="1" x14ac:dyDescent="0.3">
      <c r="A252" s="68">
        <v>124</v>
      </c>
      <c r="B252" s="70"/>
      <c r="C252" s="75"/>
      <c r="D252" s="84"/>
      <c r="E252" s="84"/>
      <c r="F252" s="84"/>
      <c r="G252" s="84"/>
      <c r="H252" s="85"/>
      <c r="I252" s="49">
        <v>56</v>
      </c>
      <c r="J252" s="49">
        <v>46</v>
      </c>
      <c r="K252" s="49">
        <v>47</v>
      </c>
      <c r="L252" s="49">
        <v>48</v>
      </c>
      <c r="M252" s="49">
        <v>49</v>
      </c>
      <c r="N252" s="49">
        <v>50</v>
      </c>
      <c r="O252" s="49">
        <v>51</v>
      </c>
      <c r="P252" s="49">
        <v>52</v>
      </c>
      <c r="Q252" s="49">
        <v>53</v>
      </c>
      <c r="R252" s="49">
        <v>54</v>
      </c>
      <c r="S252" s="49">
        <v>55</v>
      </c>
      <c r="T252" s="49">
        <v>56</v>
      </c>
      <c r="U252" s="49">
        <v>57</v>
      </c>
      <c r="V252" s="49">
        <v>58</v>
      </c>
      <c r="W252" s="49">
        <v>59</v>
      </c>
      <c r="X252" s="7"/>
      <c r="Y252" s="7"/>
      <c r="Z252" s="7"/>
      <c r="AA252" s="7"/>
      <c r="AB252" s="7"/>
      <c r="AC252" s="7"/>
      <c r="AD252" s="7"/>
      <c r="AE252" s="7"/>
      <c r="AF252" s="7"/>
      <c r="AM252" s="59"/>
      <c r="AN252" s="46"/>
      <c r="AO252" s="59"/>
      <c r="AP252" s="75" cm="1">
        <f t="array" ref="AP252">SUM(VLOOKUP(I253:W253,GRADEPOINT!$A$2:$B$7,2,0)*$I$4:$W$4)</f>
        <v>63</v>
      </c>
      <c r="AQ252" s="73">
        <f t="shared" ref="AQ252" si="488">ROUND(AP252/AM253,2)</f>
        <v>2.74</v>
      </c>
      <c r="AR252" s="72"/>
    </row>
    <row r="253" spans="1:44" ht="15" thickBot="1" x14ac:dyDescent="0.35">
      <c r="A253" s="69"/>
      <c r="B253" s="71"/>
      <c r="C253" s="86"/>
      <c r="D253" s="87"/>
      <c r="E253" s="87"/>
      <c r="F253" s="87"/>
      <c r="G253" s="87"/>
      <c r="H253" s="88"/>
      <c r="I253" s="51" t="str" cm="1">
        <f t="array" ref="I253">_xlfn.IFS(I252&gt;= 70,"A",I252&gt;=60,"B",I252&gt;=50,"C",I252&gt;=45,"D",I252&gt;=40,"E",I252&lt;40,"F")</f>
        <v>C</v>
      </c>
      <c r="J253" s="51" t="str" cm="1">
        <f t="array" ref="J253">_xlfn.IFS(J252&gt;= 70,"A",J252&gt;=60,"B",J252&gt;=50,"C",J252&gt;=45,"D",J252&gt;=40,"E",J252&lt;40,"F")</f>
        <v>D</v>
      </c>
      <c r="K253" s="51" t="str" cm="1">
        <f t="array" ref="K253">_xlfn.IFS(K252&gt;= 70,"A",K252&gt;=60,"B",K252&gt;=50,"C",K252&gt;=45,"D",K252&gt;=40,"E",K252&lt;40,"F")</f>
        <v>D</v>
      </c>
      <c r="L253" s="50" t="str" cm="1">
        <f t="array" ref="L253">_xlfn.IFS(L252&gt;= 70,"A",L252&gt;=60,"B",L252&gt;=50,"C",L252&gt;=45,"D",L252&gt;=40,"E",L252&lt;40,"F")</f>
        <v>D</v>
      </c>
      <c r="M253" s="51" t="str" cm="1">
        <f t="array" ref="M253">_xlfn.IFS(M252&gt;= 70,"A",M252&gt;=60,"B",M252&gt;=50,"C",M252&gt;=45,"D",M252&gt;=40,"E",M252&lt;40,"F")</f>
        <v>D</v>
      </c>
      <c r="N253" s="51" t="str" cm="1">
        <f t="array" ref="N253">_xlfn.IFS(N252&gt;= 70,"A",N252&gt;=60,"B",N252&gt;=50,"C",N252&gt;=45,"D",N252&gt;=40,"E",N252&lt;40,"F")</f>
        <v>C</v>
      </c>
      <c r="O253" s="51" t="str" cm="1">
        <f t="array" ref="O253">_xlfn.IFS(O252&gt;= 70,"A",O252&gt;=60,"B",O252&gt;=50,"C",O252&gt;=45,"D",O252&gt;=40,"E",O252&lt;40,"F")</f>
        <v>C</v>
      </c>
      <c r="P253" s="51" t="str" cm="1">
        <f t="array" ref="P253">_xlfn.IFS(P252&gt;= 70,"A",P252&gt;=60,"B",P252&gt;=50,"C",P252&gt;=45,"D",P252&gt;=40,"E",P252&lt;40,"F")</f>
        <v>C</v>
      </c>
      <c r="Q253" s="51" t="str" cm="1">
        <f t="array" ref="Q253">_xlfn.IFS(Q252&gt;= 70,"A",Q252&gt;=60,"B",Q252&gt;=50,"C",Q252&gt;=45,"D",Q252&gt;=40,"E",Q252&lt;40,"F")</f>
        <v>C</v>
      </c>
      <c r="R253" s="51" t="str" cm="1">
        <f t="array" ref="R253">_xlfn.IFS(R252&gt;= 70,"A",R252&gt;=60,"B",R252&gt;=50,"C",R252&gt;=45,"D",R252&gt;=40,"E",R252&lt;40,"F")</f>
        <v>C</v>
      </c>
      <c r="S253" s="51" t="str" cm="1">
        <f t="array" ref="S253">_xlfn.IFS(S252&gt;= 70,"A",S252&gt;=60,"B",S252&gt;=50,"C",S252&gt;=45,"D",S252&gt;=40,"E",S252&lt;40,"F")</f>
        <v>C</v>
      </c>
      <c r="T253" s="51" t="str" cm="1">
        <f t="array" ref="T253">_xlfn.IFS(T252&gt;= 70,"A",T252&gt;=60,"B",T252&gt;=50,"C",T252&gt;=45,"D",T252&gt;=40,"E",T252&lt;40,"F")</f>
        <v>C</v>
      </c>
      <c r="U253" s="51" t="str" cm="1">
        <f t="array" ref="U253">_xlfn.IFS(U252&gt;= 70,"A",U252&gt;=60,"B",U252&gt;=50,"C",U252&gt;=45,"D",U252&gt;=40,"E",U252&lt;40,"F")</f>
        <v>C</v>
      </c>
      <c r="V253" s="51" t="str" cm="1">
        <f t="array" ref="V253">_xlfn.IFS(V252&gt;= 70,"A",V252&gt;=60,"B",V252&gt;=50,"C",V252&gt;=45,"D",V252&gt;=40,"E",V252&lt;40,"F")</f>
        <v>C</v>
      </c>
      <c r="W253" s="50" t="str" cm="1">
        <f t="array" ref="W253">_xlfn.IFS(W252&gt;= 70,"A",W252&gt;=60,"B",W252&gt;=50,"C",W252&gt;=45,"D",W252&gt;=40,"E",W252&lt;40,"F")</f>
        <v>C</v>
      </c>
      <c r="X253" s="7"/>
      <c r="Y253" s="7"/>
      <c r="Z253" s="7"/>
      <c r="AA253" s="7"/>
      <c r="AB253" s="7"/>
      <c r="AC253" s="7"/>
      <c r="AD253" s="7"/>
      <c r="AE253" s="7"/>
      <c r="AF253" s="7"/>
      <c r="AM253" s="56">
        <f t="shared" ref="AM253" si="489">SUMIFS($I$4:$W$4,I252:W252,"&gt;0")</f>
        <v>23</v>
      </c>
      <c r="AN253" s="47">
        <f t="shared" ref="AN253" si="490">(SUMIFS($I$4:$W$4,I252:W252,"&gt;0")-SUMIFS($I$4:$W$4,I253:W253,"F"))</f>
        <v>23</v>
      </c>
      <c r="AO253" s="56">
        <f t="shared" ref="AO253" si="491">SUMIFS($I$4:$W$4,I253:W253,"F")</f>
        <v>0</v>
      </c>
      <c r="AP253" s="76"/>
      <c r="AQ253" s="74"/>
      <c r="AR253" s="71"/>
    </row>
    <row r="254" spans="1:44" ht="15" thickTop="1" x14ac:dyDescent="0.3">
      <c r="A254" s="68">
        <v>125</v>
      </c>
      <c r="B254" s="70"/>
      <c r="C254" s="75"/>
      <c r="D254" s="84"/>
      <c r="E254" s="84"/>
      <c r="F254" s="84"/>
      <c r="G254" s="84"/>
      <c r="H254" s="85"/>
      <c r="I254" s="49">
        <v>56</v>
      </c>
      <c r="J254" s="49">
        <v>46</v>
      </c>
      <c r="K254" s="49">
        <v>47</v>
      </c>
      <c r="L254" s="49">
        <v>48</v>
      </c>
      <c r="M254" s="49">
        <v>49</v>
      </c>
      <c r="N254" s="49">
        <v>50</v>
      </c>
      <c r="O254" s="49">
        <v>51</v>
      </c>
      <c r="P254" s="49">
        <v>52</v>
      </c>
      <c r="Q254" s="49">
        <v>53</v>
      </c>
      <c r="R254" s="49">
        <v>54</v>
      </c>
      <c r="S254" s="49">
        <v>55</v>
      </c>
      <c r="T254" s="49">
        <v>56</v>
      </c>
      <c r="U254" s="49">
        <v>57</v>
      </c>
      <c r="V254" s="49">
        <v>58</v>
      </c>
      <c r="W254" s="49">
        <v>59</v>
      </c>
      <c r="X254" s="7"/>
      <c r="Y254" s="7"/>
      <c r="Z254" s="7"/>
      <c r="AA254" s="7"/>
      <c r="AB254" s="7"/>
      <c r="AC254" s="7"/>
      <c r="AD254" s="7"/>
      <c r="AE254" s="7"/>
      <c r="AF254" s="7"/>
      <c r="AM254" s="59"/>
      <c r="AN254" s="46"/>
      <c r="AO254" s="59"/>
      <c r="AP254" s="75" cm="1">
        <f t="array" ref="AP254">SUM(VLOOKUP(I255:W255,GRADEPOINT!$A$2:$B$7,2,0)*$I$4:$W$4)</f>
        <v>63</v>
      </c>
      <c r="AQ254" s="73">
        <f t="shared" ref="AQ254" si="492">ROUND(AP254/AM255,2)</f>
        <v>2.74</v>
      </c>
      <c r="AR254" s="72"/>
    </row>
    <row r="255" spans="1:44" ht="15" thickBot="1" x14ac:dyDescent="0.35">
      <c r="A255" s="69"/>
      <c r="B255" s="71"/>
      <c r="C255" s="86"/>
      <c r="D255" s="87"/>
      <c r="E255" s="87"/>
      <c r="F255" s="87"/>
      <c r="G255" s="87"/>
      <c r="H255" s="88"/>
      <c r="I255" s="51" t="str" cm="1">
        <f t="array" ref="I255">_xlfn.IFS(I254&gt;= 70,"A",I254&gt;=60,"B",I254&gt;=50,"C",I254&gt;=45,"D",I254&gt;=40,"E",I254&lt;40,"F")</f>
        <v>C</v>
      </c>
      <c r="J255" s="51" t="str" cm="1">
        <f t="array" ref="J255">_xlfn.IFS(J254&gt;= 70,"A",J254&gt;=60,"B",J254&gt;=50,"C",J254&gt;=45,"D",J254&gt;=40,"E",J254&lt;40,"F")</f>
        <v>D</v>
      </c>
      <c r="K255" s="51" t="str" cm="1">
        <f t="array" ref="K255">_xlfn.IFS(K254&gt;= 70,"A",K254&gt;=60,"B",K254&gt;=50,"C",K254&gt;=45,"D",K254&gt;=40,"E",K254&lt;40,"F")</f>
        <v>D</v>
      </c>
      <c r="L255" s="50" t="str" cm="1">
        <f t="array" ref="L255">_xlfn.IFS(L254&gt;= 70,"A",L254&gt;=60,"B",L254&gt;=50,"C",L254&gt;=45,"D",L254&gt;=40,"E",L254&lt;40,"F")</f>
        <v>D</v>
      </c>
      <c r="M255" s="51" t="str" cm="1">
        <f t="array" ref="M255">_xlfn.IFS(M254&gt;= 70,"A",M254&gt;=60,"B",M254&gt;=50,"C",M254&gt;=45,"D",M254&gt;=40,"E",M254&lt;40,"F")</f>
        <v>D</v>
      </c>
      <c r="N255" s="51" t="str" cm="1">
        <f t="array" ref="N255">_xlfn.IFS(N254&gt;= 70,"A",N254&gt;=60,"B",N254&gt;=50,"C",N254&gt;=45,"D",N254&gt;=40,"E",N254&lt;40,"F")</f>
        <v>C</v>
      </c>
      <c r="O255" s="51" t="str" cm="1">
        <f t="array" ref="O255">_xlfn.IFS(O254&gt;= 70,"A",O254&gt;=60,"B",O254&gt;=50,"C",O254&gt;=45,"D",O254&gt;=40,"E",O254&lt;40,"F")</f>
        <v>C</v>
      </c>
      <c r="P255" s="51" t="str" cm="1">
        <f t="array" ref="P255">_xlfn.IFS(P254&gt;= 70,"A",P254&gt;=60,"B",P254&gt;=50,"C",P254&gt;=45,"D",P254&gt;=40,"E",P254&lt;40,"F")</f>
        <v>C</v>
      </c>
      <c r="Q255" s="51" t="str" cm="1">
        <f t="array" ref="Q255">_xlfn.IFS(Q254&gt;= 70,"A",Q254&gt;=60,"B",Q254&gt;=50,"C",Q254&gt;=45,"D",Q254&gt;=40,"E",Q254&lt;40,"F")</f>
        <v>C</v>
      </c>
      <c r="R255" s="51" t="str" cm="1">
        <f t="array" ref="R255">_xlfn.IFS(R254&gt;= 70,"A",R254&gt;=60,"B",R254&gt;=50,"C",R254&gt;=45,"D",R254&gt;=40,"E",R254&lt;40,"F")</f>
        <v>C</v>
      </c>
      <c r="S255" s="51" t="str" cm="1">
        <f t="array" ref="S255">_xlfn.IFS(S254&gt;= 70,"A",S254&gt;=60,"B",S254&gt;=50,"C",S254&gt;=45,"D",S254&gt;=40,"E",S254&lt;40,"F")</f>
        <v>C</v>
      </c>
      <c r="T255" s="51" t="str" cm="1">
        <f t="array" ref="T255">_xlfn.IFS(T254&gt;= 70,"A",T254&gt;=60,"B",T254&gt;=50,"C",T254&gt;=45,"D",T254&gt;=40,"E",T254&lt;40,"F")</f>
        <v>C</v>
      </c>
      <c r="U255" s="51" t="str" cm="1">
        <f t="array" ref="U255">_xlfn.IFS(U254&gt;= 70,"A",U254&gt;=60,"B",U254&gt;=50,"C",U254&gt;=45,"D",U254&gt;=40,"E",U254&lt;40,"F")</f>
        <v>C</v>
      </c>
      <c r="V255" s="51" t="str" cm="1">
        <f t="array" ref="V255">_xlfn.IFS(V254&gt;= 70,"A",V254&gt;=60,"B",V254&gt;=50,"C",V254&gt;=45,"D",V254&gt;=40,"E",V254&lt;40,"F")</f>
        <v>C</v>
      </c>
      <c r="W255" s="50" t="str" cm="1">
        <f t="array" ref="W255">_xlfn.IFS(W254&gt;= 70,"A",W254&gt;=60,"B",W254&gt;=50,"C",W254&gt;=45,"D",W254&gt;=40,"E",W254&lt;40,"F")</f>
        <v>C</v>
      </c>
      <c r="X255" s="7"/>
      <c r="Y255" s="7"/>
      <c r="Z255" s="7"/>
      <c r="AA255" s="7"/>
      <c r="AB255" s="7"/>
      <c r="AC255" s="7"/>
      <c r="AD255" s="7"/>
      <c r="AE255" s="7"/>
      <c r="AF255" s="7"/>
      <c r="AM255" s="56">
        <f t="shared" ref="AM255" si="493">SUMIFS($I$4:$W$4,I254:W254,"&gt;0")</f>
        <v>23</v>
      </c>
      <c r="AN255" s="47">
        <f t="shared" ref="AN255" si="494">(SUMIFS($I$4:$W$4,I254:W254,"&gt;0")-SUMIFS($I$4:$W$4,I255:W255,"F"))</f>
        <v>23</v>
      </c>
      <c r="AO255" s="56">
        <f t="shared" ref="AO255" si="495">SUMIFS($I$4:$W$4,I255:W255,"F")</f>
        <v>0</v>
      </c>
      <c r="AP255" s="76"/>
      <c r="AQ255" s="74"/>
      <c r="AR255" s="71"/>
    </row>
    <row r="256" spans="1:44" ht="15" thickTop="1" x14ac:dyDescent="0.3">
      <c r="A256" s="68">
        <v>126</v>
      </c>
      <c r="B256" s="70"/>
      <c r="C256" s="75"/>
      <c r="D256" s="84"/>
      <c r="E256" s="84"/>
      <c r="F256" s="84"/>
      <c r="G256" s="84"/>
      <c r="H256" s="85"/>
      <c r="I256" s="49">
        <v>56</v>
      </c>
      <c r="J256" s="49">
        <v>46</v>
      </c>
      <c r="K256" s="49">
        <v>47</v>
      </c>
      <c r="L256" s="49">
        <v>48</v>
      </c>
      <c r="M256" s="49">
        <v>49</v>
      </c>
      <c r="N256" s="49">
        <v>50</v>
      </c>
      <c r="O256" s="49">
        <v>51</v>
      </c>
      <c r="P256" s="49">
        <v>52</v>
      </c>
      <c r="Q256" s="49">
        <v>53</v>
      </c>
      <c r="R256" s="49">
        <v>54</v>
      </c>
      <c r="S256" s="49">
        <v>55</v>
      </c>
      <c r="T256" s="49">
        <v>56</v>
      </c>
      <c r="U256" s="49">
        <v>57</v>
      </c>
      <c r="V256" s="49">
        <v>58</v>
      </c>
      <c r="W256" s="49">
        <v>59</v>
      </c>
      <c r="X256" s="7"/>
      <c r="Y256" s="7"/>
      <c r="Z256" s="7"/>
      <c r="AA256" s="7"/>
      <c r="AB256" s="7"/>
      <c r="AC256" s="7"/>
      <c r="AD256" s="7"/>
      <c r="AE256" s="7"/>
      <c r="AF256" s="7"/>
      <c r="AM256" s="59"/>
      <c r="AN256" s="46"/>
      <c r="AO256" s="59"/>
      <c r="AP256" s="75" cm="1">
        <f t="array" ref="AP256">SUM(VLOOKUP(I257:W257,GRADEPOINT!$A$2:$B$7,2,0)*$I$4:$W$4)</f>
        <v>63</v>
      </c>
      <c r="AQ256" s="73">
        <f t="shared" ref="AQ256" si="496">ROUND(AP256/AM257,2)</f>
        <v>2.74</v>
      </c>
      <c r="AR256" s="72"/>
    </row>
    <row r="257" spans="1:44" ht="15" thickBot="1" x14ac:dyDescent="0.35">
      <c r="A257" s="69"/>
      <c r="B257" s="71"/>
      <c r="C257" s="86"/>
      <c r="D257" s="87"/>
      <c r="E257" s="87"/>
      <c r="F257" s="87"/>
      <c r="G257" s="87"/>
      <c r="H257" s="88"/>
      <c r="I257" s="51" t="str" cm="1">
        <f t="array" ref="I257">_xlfn.IFS(I256&gt;= 70,"A",I256&gt;=60,"B",I256&gt;=50,"C",I256&gt;=45,"D",I256&gt;=40,"E",I256&lt;40,"F")</f>
        <v>C</v>
      </c>
      <c r="J257" s="51" t="str" cm="1">
        <f t="array" ref="J257">_xlfn.IFS(J256&gt;= 70,"A",J256&gt;=60,"B",J256&gt;=50,"C",J256&gt;=45,"D",J256&gt;=40,"E",J256&lt;40,"F")</f>
        <v>D</v>
      </c>
      <c r="K257" s="51" t="str" cm="1">
        <f t="array" ref="K257">_xlfn.IFS(K256&gt;= 70,"A",K256&gt;=60,"B",K256&gt;=50,"C",K256&gt;=45,"D",K256&gt;=40,"E",K256&lt;40,"F")</f>
        <v>D</v>
      </c>
      <c r="L257" s="50" t="str" cm="1">
        <f t="array" ref="L257">_xlfn.IFS(L256&gt;= 70,"A",L256&gt;=60,"B",L256&gt;=50,"C",L256&gt;=45,"D",L256&gt;=40,"E",L256&lt;40,"F")</f>
        <v>D</v>
      </c>
      <c r="M257" s="51" t="str" cm="1">
        <f t="array" ref="M257">_xlfn.IFS(M256&gt;= 70,"A",M256&gt;=60,"B",M256&gt;=50,"C",M256&gt;=45,"D",M256&gt;=40,"E",M256&lt;40,"F")</f>
        <v>D</v>
      </c>
      <c r="N257" s="51" t="str" cm="1">
        <f t="array" ref="N257">_xlfn.IFS(N256&gt;= 70,"A",N256&gt;=60,"B",N256&gt;=50,"C",N256&gt;=45,"D",N256&gt;=40,"E",N256&lt;40,"F")</f>
        <v>C</v>
      </c>
      <c r="O257" s="51" t="str" cm="1">
        <f t="array" ref="O257">_xlfn.IFS(O256&gt;= 70,"A",O256&gt;=60,"B",O256&gt;=50,"C",O256&gt;=45,"D",O256&gt;=40,"E",O256&lt;40,"F")</f>
        <v>C</v>
      </c>
      <c r="P257" s="51" t="str" cm="1">
        <f t="array" ref="P257">_xlfn.IFS(P256&gt;= 70,"A",P256&gt;=60,"B",P256&gt;=50,"C",P256&gt;=45,"D",P256&gt;=40,"E",P256&lt;40,"F")</f>
        <v>C</v>
      </c>
      <c r="Q257" s="51" t="str" cm="1">
        <f t="array" ref="Q257">_xlfn.IFS(Q256&gt;= 70,"A",Q256&gt;=60,"B",Q256&gt;=50,"C",Q256&gt;=45,"D",Q256&gt;=40,"E",Q256&lt;40,"F")</f>
        <v>C</v>
      </c>
      <c r="R257" s="51" t="str" cm="1">
        <f t="array" ref="R257">_xlfn.IFS(R256&gt;= 70,"A",R256&gt;=60,"B",R256&gt;=50,"C",R256&gt;=45,"D",R256&gt;=40,"E",R256&lt;40,"F")</f>
        <v>C</v>
      </c>
      <c r="S257" s="51" t="str" cm="1">
        <f t="array" ref="S257">_xlfn.IFS(S256&gt;= 70,"A",S256&gt;=60,"B",S256&gt;=50,"C",S256&gt;=45,"D",S256&gt;=40,"E",S256&lt;40,"F")</f>
        <v>C</v>
      </c>
      <c r="T257" s="51" t="str" cm="1">
        <f t="array" ref="T257">_xlfn.IFS(T256&gt;= 70,"A",T256&gt;=60,"B",T256&gt;=50,"C",T256&gt;=45,"D",T256&gt;=40,"E",T256&lt;40,"F")</f>
        <v>C</v>
      </c>
      <c r="U257" s="51" t="str" cm="1">
        <f t="array" ref="U257">_xlfn.IFS(U256&gt;= 70,"A",U256&gt;=60,"B",U256&gt;=50,"C",U256&gt;=45,"D",U256&gt;=40,"E",U256&lt;40,"F")</f>
        <v>C</v>
      </c>
      <c r="V257" s="51" t="str" cm="1">
        <f t="array" ref="V257">_xlfn.IFS(V256&gt;= 70,"A",V256&gt;=60,"B",V256&gt;=50,"C",V256&gt;=45,"D",V256&gt;=40,"E",V256&lt;40,"F")</f>
        <v>C</v>
      </c>
      <c r="W257" s="50" t="str" cm="1">
        <f t="array" ref="W257">_xlfn.IFS(W256&gt;= 70,"A",W256&gt;=60,"B",W256&gt;=50,"C",W256&gt;=45,"D",W256&gt;=40,"E",W256&lt;40,"F")</f>
        <v>C</v>
      </c>
      <c r="X257" s="7"/>
      <c r="Y257" s="7"/>
      <c r="Z257" s="7"/>
      <c r="AA257" s="7"/>
      <c r="AB257" s="7"/>
      <c r="AC257" s="7"/>
      <c r="AD257" s="7"/>
      <c r="AE257" s="7"/>
      <c r="AF257" s="7"/>
      <c r="AM257" s="56">
        <f t="shared" ref="AM257" si="497">SUMIFS($I$4:$W$4,I256:W256,"&gt;0")</f>
        <v>23</v>
      </c>
      <c r="AN257" s="47">
        <f t="shared" ref="AN257" si="498">(SUMIFS($I$4:$W$4,I256:W256,"&gt;0")-SUMIFS($I$4:$W$4,I257:W257,"F"))</f>
        <v>23</v>
      </c>
      <c r="AO257" s="56">
        <f t="shared" ref="AO257" si="499">SUMIFS($I$4:$W$4,I257:W257,"F")</f>
        <v>0</v>
      </c>
      <c r="AP257" s="76"/>
      <c r="AQ257" s="74"/>
      <c r="AR257" s="71"/>
    </row>
    <row r="258" spans="1:44" ht="15" thickTop="1" x14ac:dyDescent="0.3">
      <c r="A258" s="68">
        <v>127</v>
      </c>
      <c r="B258" s="70"/>
      <c r="C258" s="75"/>
      <c r="D258" s="84"/>
      <c r="E258" s="84"/>
      <c r="F258" s="84"/>
      <c r="G258" s="84"/>
      <c r="H258" s="85"/>
      <c r="I258" s="49">
        <v>56</v>
      </c>
      <c r="J258" s="49">
        <v>46</v>
      </c>
      <c r="K258" s="49">
        <v>47</v>
      </c>
      <c r="L258" s="49">
        <v>48</v>
      </c>
      <c r="M258" s="49">
        <v>49</v>
      </c>
      <c r="N258" s="49">
        <v>50</v>
      </c>
      <c r="O258" s="49">
        <v>51</v>
      </c>
      <c r="P258" s="49">
        <v>52</v>
      </c>
      <c r="Q258" s="49">
        <v>53</v>
      </c>
      <c r="R258" s="49">
        <v>54</v>
      </c>
      <c r="S258" s="49">
        <v>55</v>
      </c>
      <c r="T258" s="49">
        <v>56</v>
      </c>
      <c r="U258" s="49">
        <v>57</v>
      </c>
      <c r="V258" s="49">
        <v>58</v>
      </c>
      <c r="W258" s="49">
        <v>59</v>
      </c>
      <c r="X258" s="7"/>
      <c r="Y258" s="7"/>
      <c r="Z258" s="7"/>
      <c r="AA258" s="7"/>
      <c r="AB258" s="7"/>
      <c r="AC258" s="7"/>
      <c r="AD258" s="7"/>
      <c r="AE258" s="7"/>
      <c r="AF258" s="7"/>
      <c r="AM258" s="59"/>
      <c r="AN258" s="46"/>
      <c r="AO258" s="59"/>
      <c r="AP258" s="75" cm="1">
        <f t="array" ref="AP258">SUM(VLOOKUP(I259:W259,GRADEPOINT!$A$2:$B$7,2,0)*$I$4:$W$4)</f>
        <v>63</v>
      </c>
      <c r="AQ258" s="73">
        <f t="shared" ref="AQ258" si="500">ROUND(AP258/AM259,2)</f>
        <v>2.74</v>
      </c>
      <c r="AR258" s="72"/>
    </row>
    <row r="259" spans="1:44" ht="15" thickBot="1" x14ac:dyDescent="0.35">
      <c r="A259" s="69"/>
      <c r="B259" s="71"/>
      <c r="C259" s="86"/>
      <c r="D259" s="87"/>
      <c r="E259" s="87"/>
      <c r="F259" s="87"/>
      <c r="G259" s="87"/>
      <c r="H259" s="88"/>
      <c r="I259" s="51" t="str" cm="1">
        <f t="array" ref="I259">_xlfn.IFS(I258&gt;= 70,"A",I258&gt;=60,"B",I258&gt;=50,"C",I258&gt;=45,"D",I258&gt;=40,"E",I258&lt;40,"F")</f>
        <v>C</v>
      </c>
      <c r="J259" s="51" t="str" cm="1">
        <f t="array" ref="J259">_xlfn.IFS(J258&gt;= 70,"A",J258&gt;=60,"B",J258&gt;=50,"C",J258&gt;=45,"D",J258&gt;=40,"E",J258&lt;40,"F")</f>
        <v>D</v>
      </c>
      <c r="K259" s="51" t="str" cm="1">
        <f t="array" ref="K259">_xlfn.IFS(K258&gt;= 70,"A",K258&gt;=60,"B",K258&gt;=50,"C",K258&gt;=45,"D",K258&gt;=40,"E",K258&lt;40,"F")</f>
        <v>D</v>
      </c>
      <c r="L259" s="50" t="str" cm="1">
        <f t="array" ref="L259">_xlfn.IFS(L258&gt;= 70,"A",L258&gt;=60,"B",L258&gt;=50,"C",L258&gt;=45,"D",L258&gt;=40,"E",L258&lt;40,"F")</f>
        <v>D</v>
      </c>
      <c r="M259" s="51" t="str" cm="1">
        <f t="array" ref="M259">_xlfn.IFS(M258&gt;= 70,"A",M258&gt;=60,"B",M258&gt;=50,"C",M258&gt;=45,"D",M258&gt;=40,"E",M258&lt;40,"F")</f>
        <v>D</v>
      </c>
      <c r="N259" s="51" t="str" cm="1">
        <f t="array" ref="N259">_xlfn.IFS(N258&gt;= 70,"A",N258&gt;=60,"B",N258&gt;=50,"C",N258&gt;=45,"D",N258&gt;=40,"E",N258&lt;40,"F")</f>
        <v>C</v>
      </c>
      <c r="O259" s="51" t="str" cm="1">
        <f t="array" ref="O259">_xlfn.IFS(O258&gt;= 70,"A",O258&gt;=60,"B",O258&gt;=50,"C",O258&gt;=45,"D",O258&gt;=40,"E",O258&lt;40,"F")</f>
        <v>C</v>
      </c>
      <c r="P259" s="51" t="str" cm="1">
        <f t="array" ref="P259">_xlfn.IFS(P258&gt;= 70,"A",P258&gt;=60,"B",P258&gt;=50,"C",P258&gt;=45,"D",P258&gt;=40,"E",P258&lt;40,"F")</f>
        <v>C</v>
      </c>
      <c r="Q259" s="51" t="str" cm="1">
        <f t="array" ref="Q259">_xlfn.IFS(Q258&gt;= 70,"A",Q258&gt;=60,"B",Q258&gt;=50,"C",Q258&gt;=45,"D",Q258&gt;=40,"E",Q258&lt;40,"F")</f>
        <v>C</v>
      </c>
      <c r="R259" s="51" t="str" cm="1">
        <f t="array" ref="R259">_xlfn.IFS(R258&gt;= 70,"A",R258&gt;=60,"B",R258&gt;=50,"C",R258&gt;=45,"D",R258&gt;=40,"E",R258&lt;40,"F")</f>
        <v>C</v>
      </c>
      <c r="S259" s="51" t="str" cm="1">
        <f t="array" ref="S259">_xlfn.IFS(S258&gt;= 70,"A",S258&gt;=60,"B",S258&gt;=50,"C",S258&gt;=45,"D",S258&gt;=40,"E",S258&lt;40,"F")</f>
        <v>C</v>
      </c>
      <c r="T259" s="51" t="str" cm="1">
        <f t="array" ref="T259">_xlfn.IFS(T258&gt;= 70,"A",T258&gt;=60,"B",T258&gt;=50,"C",T258&gt;=45,"D",T258&gt;=40,"E",T258&lt;40,"F")</f>
        <v>C</v>
      </c>
      <c r="U259" s="51" t="str" cm="1">
        <f t="array" ref="U259">_xlfn.IFS(U258&gt;= 70,"A",U258&gt;=60,"B",U258&gt;=50,"C",U258&gt;=45,"D",U258&gt;=40,"E",U258&lt;40,"F")</f>
        <v>C</v>
      </c>
      <c r="V259" s="51" t="str" cm="1">
        <f t="array" ref="V259">_xlfn.IFS(V258&gt;= 70,"A",V258&gt;=60,"B",V258&gt;=50,"C",V258&gt;=45,"D",V258&gt;=40,"E",V258&lt;40,"F")</f>
        <v>C</v>
      </c>
      <c r="W259" s="50" t="str" cm="1">
        <f t="array" ref="W259">_xlfn.IFS(W258&gt;= 70,"A",W258&gt;=60,"B",W258&gt;=50,"C",W258&gt;=45,"D",W258&gt;=40,"E",W258&lt;40,"F")</f>
        <v>C</v>
      </c>
      <c r="X259" s="7"/>
      <c r="Y259" s="7"/>
      <c r="Z259" s="7"/>
      <c r="AA259" s="7"/>
      <c r="AB259" s="7"/>
      <c r="AC259" s="7"/>
      <c r="AD259" s="7"/>
      <c r="AE259" s="7"/>
      <c r="AF259" s="7"/>
      <c r="AM259" s="56">
        <f t="shared" ref="AM259" si="501">SUMIFS($I$4:$W$4,I258:W258,"&gt;0")</f>
        <v>23</v>
      </c>
      <c r="AN259" s="47">
        <f t="shared" ref="AN259" si="502">(SUMIFS($I$4:$W$4,I258:W258,"&gt;0")-SUMIFS($I$4:$W$4,I259:W259,"F"))</f>
        <v>23</v>
      </c>
      <c r="AO259" s="56">
        <f t="shared" ref="AO259" si="503">SUMIFS($I$4:$W$4,I259:W259,"F")</f>
        <v>0</v>
      </c>
      <c r="AP259" s="76"/>
      <c r="AQ259" s="74"/>
      <c r="AR259" s="71"/>
    </row>
    <row r="260" spans="1:44" ht="15" thickTop="1" x14ac:dyDescent="0.3">
      <c r="A260" s="68">
        <v>128</v>
      </c>
      <c r="B260" s="70"/>
      <c r="C260" s="75"/>
      <c r="D260" s="84"/>
      <c r="E260" s="84"/>
      <c r="F260" s="84"/>
      <c r="G260" s="84"/>
      <c r="H260" s="85"/>
      <c r="I260" s="49">
        <v>56</v>
      </c>
      <c r="J260" s="49">
        <v>46</v>
      </c>
      <c r="K260" s="49">
        <v>47</v>
      </c>
      <c r="L260" s="49">
        <v>48</v>
      </c>
      <c r="M260" s="49">
        <v>49</v>
      </c>
      <c r="N260" s="49">
        <v>50</v>
      </c>
      <c r="O260" s="49">
        <v>51</v>
      </c>
      <c r="P260" s="49">
        <v>52</v>
      </c>
      <c r="Q260" s="49">
        <v>53</v>
      </c>
      <c r="R260" s="49">
        <v>54</v>
      </c>
      <c r="S260" s="49">
        <v>55</v>
      </c>
      <c r="T260" s="49">
        <v>56</v>
      </c>
      <c r="U260" s="49">
        <v>57</v>
      </c>
      <c r="V260" s="49">
        <v>58</v>
      </c>
      <c r="W260" s="49">
        <v>59</v>
      </c>
      <c r="X260" s="7"/>
      <c r="Y260" s="7"/>
      <c r="Z260" s="7"/>
      <c r="AA260" s="7"/>
      <c r="AB260" s="7"/>
      <c r="AC260" s="7"/>
      <c r="AD260" s="7"/>
      <c r="AE260" s="7"/>
      <c r="AF260" s="7"/>
      <c r="AM260" s="59"/>
      <c r="AN260" s="46"/>
      <c r="AO260" s="59"/>
      <c r="AP260" s="75" cm="1">
        <f t="array" ref="AP260">SUM(VLOOKUP(I261:W261,GRADEPOINT!$A$2:$B$7,2,0)*$I$4:$W$4)</f>
        <v>63</v>
      </c>
      <c r="AQ260" s="73">
        <f t="shared" ref="AQ260" si="504">ROUND(AP260/AM261,2)</f>
        <v>2.74</v>
      </c>
      <c r="AR260" s="72"/>
    </row>
    <row r="261" spans="1:44" ht="15" thickBot="1" x14ac:dyDescent="0.35">
      <c r="A261" s="69"/>
      <c r="B261" s="71"/>
      <c r="C261" s="86"/>
      <c r="D261" s="87"/>
      <c r="E261" s="87"/>
      <c r="F261" s="87"/>
      <c r="G261" s="87"/>
      <c r="H261" s="88"/>
      <c r="I261" s="51" t="str" cm="1">
        <f t="array" ref="I261">_xlfn.IFS(I260&gt;= 70,"A",I260&gt;=60,"B",I260&gt;=50,"C",I260&gt;=45,"D",I260&gt;=40,"E",I260&lt;40,"F")</f>
        <v>C</v>
      </c>
      <c r="J261" s="51" t="str" cm="1">
        <f t="array" ref="J261">_xlfn.IFS(J260&gt;= 70,"A",J260&gt;=60,"B",J260&gt;=50,"C",J260&gt;=45,"D",J260&gt;=40,"E",J260&lt;40,"F")</f>
        <v>D</v>
      </c>
      <c r="K261" s="51" t="str" cm="1">
        <f t="array" ref="K261">_xlfn.IFS(K260&gt;= 70,"A",K260&gt;=60,"B",K260&gt;=50,"C",K260&gt;=45,"D",K260&gt;=40,"E",K260&lt;40,"F")</f>
        <v>D</v>
      </c>
      <c r="L261" s="50" t="str" cm="1">
        <f t="array" ref="L261">_xlfn.IFS(L260&gt;= 70,"A",L260&gt;=60,"B",L260&gt;=50,"C",L260&gt;=45,"D",L260&gt;=40,"E",L260&lt;40,"F")</f>
        <v>D</v>
      </c>
      <c r="M261" s="51" t="str" cm="1">
        <f t="array" ref="M261">_xlfn.IFS(M260&gt;= 70,"A",M260&gt;=60,"B",M260&gt;=50,"C",M260&gt;=45,"D",M260&gt;=40,"E",M260&lt;40,"F")</f>
        <v>D</v>
      </c>
      <c r="N261" s="51" t="str" cm="1">
        <f t="array" ref="N261">_xlfn.IFS(N260&gt;= 70,"A",N260&gt;=60,"B",N260&gt;=50,"C",N260&gt;=45,"D",N260&gt;=40,"E",N260&lt;40,"F")</f>
        <v>C</v>
      </c>
      <c r="O261" s="51" t="str" cm="1">
        <f t="array" ref="O261">_xlfn.IFS(O260&gt;= 70,"A",O260&gt;=60,"B",O260&gt;=50,"C",O260&gt;=45,"D",O260&gt;=40,"E",O260&lt;40,"F")</f>
        <v>C</v>
      </c>
      <c r="P261" s="51" t="str" cm="1">
        <f t="array" ref="P261">_xlfn.IFS(P260&gt;= 70,"A",P260&gt;=60,"B",P260&gt;=50,"C",P260&gt;=45,"D",P260&gt;=40,"E",P260&lt;40,"F")</f>
        <v>C</v>
      </c>
      <c r="Q261" s="51" t="str" cm="1">
        <f t="array" ref="Q261">_xlfn.IFS(Q260&gt;= 70,"A",Q260&gt;=60,"B",Q260&gt;=50,"C",Q260&gt;=45,"D",Q260&gt;=40,"E",Q260&lt;40,"F")</f>
        <v>C</v>
      </c>
      <c r="R261" s="51" t="str" cm="1">
        <f t="array" ref="R261">_xlfn.IFS(R260&gt;= 70,"A",R260&gt;=60,"B",R260&gt;=50,"C",R260&gt;=45,"D",R260&gt;=40,"E",R260&lt;40,"F")</f>
        <v>C</v>
      </c>
      <c r="S261" s="51" t="str" cm="1">
        <f t="array" ref="S261">_xlfn.IFS(S260&gt;= 70,"A",S260&gt;=60,"B",S260&gt;=50,"C",S260&gt;=45,"D",S260&gt;=40,"E",S260&lt;40,"F")</f>
        <v>C</v>
      </c>
      <c r="T261" s="51" t="str" cm="1">
        <f t="array" ref="T261">_xlfn.IFS(T260&gt;= 70,"A",T260&gt;=60,"B",T260&gt;=50,"C",T260&gt;=45,"D",T260&gt;=40,"E",T260&lt;40,"F")</f>
        <v>C</v>
      </c>
      <c r="U261" s="51" t="str" cm="1">
        <f t="array" ref="U261">_xlfn.IFS(U260&gt;= 70,"A",U260&gt;=60,"B",U260&gt;=50,"C",U260&gt;=45,"D",U260&gt;=40,"E",U260&lt;40,"F")</f>
        <v>C</v>
      </c>
      <c r="V261" s="51" t="str" cm="1">
        <f t="array" ref="V261">_xlfn.IFS(V260&gt;= 70,"A",V260&gt;=60,"B",V260&gt;=50,"C",V260&gt;=45,"D",V260&gt;=40,"E",V260&lt;40,"F")</f>
        <v>C</v>
      </c>
      <c r="W261" s="50" t="str" cm="1">
        <f t="array" ref="W261">_xlfn.IFS(W260&gt;= 70,"A",W260&gt;=60,"B",W260&gt;=50,"C",W260&gt;=45,"D",W260&gt;=40,"E",W260&lt;40,"F")</f>
        <v>C</v>
      </c>
      <c r="X261" s="7"/>
      <c r="Y261" s="7"/>
      <c r="Z261" s="7"/>
      <c r="AA261" s="7"/>
      <c r="AB261" s="7"/>
      <c r="AC261" s="7"/>
      <c r="AD261" s="7"/>
      <c r="AE261" s="7"/>
      <c r="AF261" s="7"/>
      <c r="AM261" s="56">
        <f t="shared" ref="AM261" si="505">SUMIFS($I$4:$W$4,I260:W260,"&gt;0")</f>
        <v>23</v>
      </c>
      <c r="AN261" s="47">
        <f t="shared" ref="AN261" si="506">(SUMIFS($I$4:$W$4,I260:W260,"&gt;0")-SUMIFS($I$4:$W$4,I261:W261,"F"))</f>
        <v>23</v>
      </c>
      <c r="AO261" s="56">
        <f t="shared" ref="AO261" si="507">SUMIFS($I$4:$W$4,I261:W261,"F")</f>
        <v>0</v>
      </c>
      <c r="AP261" s="76"/>
      <c r="AQ261" s="74"/>
      <c r="AR261" s="71"/>
    </row>
    <row r="262" spans="1:44" ht="15" thickTop="1" x14ac:dyDescent="0.3">
      <c r="A262" s="68">
        <v>129</v>
      </c>
      <c r="B262" s="70"/>
      <c r="C262" s="75"/>
      <c r="D262" s="84"/>
      <c r="E262" s="84"/>
      <c r="F262" s="84"/>
      <c r="G262" s="84"/>
      <c r="H262" s="85"/>
      <c r="I262" s="49">
        <v>56</v>
      </c>
      <c r="J262" s="49">
        <v>46</v>
      </c>
      <c r="K262" s="49">
        <v>47</v>
      </c>
      <c r="L262" s="49">
        <v>48</v>
      </c>
      <c r="M262" s="49">
        <v>49</v>
      </c>
      <c r="N262" s="49">
        <v>50</v>
      </c>
      <c r="O262" s="49">
        <v>51</v>
      </c>
      <c r="P262" s="49">
        <v>52</v>
      </c>
      <c r="Q262" s="49">
        <v>53</v>
      </c>
      <c r="R262" s="49">
        <v>54</v>
      </c>
      <c r="S262" s="49">
        <v>55</v>
      </c>
      <c r="T262" s="49">
        <v>56</v>
      </c>
      <c r="U262" s="49">
        <v>57</v>
      </c>
      <c r="V262" s="49">
        <v>58</v>
      </c>
      <c r="W262" s="49">
        <v>59</v>
      </c>
      <c r="X262" s="7"/>
      <c r="Y262" s="7"/>
      <c r="Z262" s="7"/>
      <c r="AA262" s="7"/>
      <c r="AB262" s="7"/>
      <c r="AC262" s="7"/>
      <c r="AD262" s="7"/>
      <c r="AE262" s="7"/>
      <c r="AF262" s="7"/>
      <c r="AM262" s="59"/>
      <c r="AN262" s="46"/>
      <c r="AO262" s="59"/>
      <c r="AP262" s="75" cm="1">
        <f t="array" ref="AP262">SUM(VLOOKUP(I263:W263,GRADEPOINT!$A$2:$B$7,2,0)*$I$4:$W$4)</f>
        <v>63</v>
      </c>
      <c r="AQ262" s="73">
        <f t="shared" ref="AQ262" si="508">ROUND(AP262/AM263,2)</f>
        <v>2.74</v>
      </c>
      <c r="AR262" s="72"/>
    </row>
    <row r="263" spans="1:44" ht="15" thickBot="1" x14ac:dyDescent="0.35">
      <c r="A263" s="69"/>
      <c r="B263" s="71"/>
      <c r="C263" s="86"/>
      <c r="D263" s="87"/>
      <c r="E263" s="87"/>
      <c r="F263" s="87"/>
      <c r="G263" s="87"/>
      <c r="H263" s="88"/>
      <c r="I263" s="51" t="str" cm="1">
        <f t="array" ref="I263">_xlfn.IFS(I262&gt;= 70,"A",I262&gt;=60,"B",I262&gt;=50,"C",I262&gt;=45,"D",I262&gt;=40,"E",I262&lt;40,"F")</f>
        <v>C</v>
      </c>
      <c r="J263" s="51" t="str" cm="1">
        <f t="array" ref="J263">_xlfn.IFS(J262&gt;= 70,"A",J262&gt;=60,"B",J262&gt;=50,"C",J262&gt;=45,"D",J262&gt;=40,"E",J262&lt;40,"F")</f>
        <v>D</v>
      </c>
      <c r="K263" s="51" t="str" cm="1">
        <f t="array" ref="K263">_xlfn.IFS(K262&gt;= 70,"A",K262&gt;=60,"B",K262&gt;=50,"C",K262&gt;=45,"D",K262&gt;=40,"E",K262&lt;40,"F")</f>
        <v>D</v>
      </c>
      <c r="L263" s="50" t="str" cm="1">
        <f t="array" ref="L263">_xlfn.IFS(L262&gt;= 70,"A",L262&gt;=60,"B",L262&gt;=50,"C",L262&gt;=45,"D",L262&gt;=40,"E",L262&lt;40,"F")</f>
        <v>D</v>
      </c>
      <c r="M263" s="51" t="str" cm="1">
        <f t="array" ref="M263">_xlfn.IFS(M262&gt;= 70,"A",M262&gt;=60,"B",M262&gt;=50,"C",M262&gt;=45,"D",M262&gt;=40,"E",M262&lt;40,"F")</f>
        <v>D</v>
      </c>
      <c r="N263" s="51" t="str" cm="1">
        <f t="array" ref="N263">_xlfn.IFS(N262&gt;= 70,"A",N262&gt;=60,"B",N262&gt;=50,"C",N262&gt;=45,"D",N262&gt;=40,"E",N262&lt;40,"F")</f>
        <v>C</v>
      </c>
      <c r="O263" s="51" t="str" cm="1">
        <f t="array" ref="O263">_xlfn.IFS(O262&gt;= 70,"A",O262&gt;=60,"B",O262&gt;=50,"C",O262&gt;=45,"D",O262&gt;=40,"E",O262&lt;40,"F")</f>
        <v>C</v>
      </c>
      <c r="P263" s="51" t="str" cm="1">
        <f t="array" ref="P263">_xlfn.IFS(P262&gt;= 70,"A",P262&gt;=60,"B",P262&gt;=50,"C",P262&gt;=45,"D",P262&gt;=40,"E",P262&lt;40,"F")</f>
        <v>C</v>
      </c>
      <c r="Q263" s="51" t="str" cm="1">
        <f t="array" ref="Q263">_xlfn.IFS(Q262&gt;= 70,"A",Q262&gt;=60,"B",Q262&gt;=50,"C",Q262&gt;=45,"D",Q262&gt;=40,"E",Q262&lt;40,"F")</f>
        <v>C</v>
      </c>
      <c r="R263" s="51" t="str" cm="1">
        <f t="array" ref="R263">_xlfn.IFS(R262&gt;= 70,"A",R262&gt;=60,"B",R262&gt;=50,"C",R262&gt;=45,"D",R262&gt;=40,"E",R262&lt;40,"F")</f>
        <v>C</v>
      </c>
      <c r="S263" s="51" t="str" cm="1">
        <f t="array" ref="S263">_xlfn.IFS(S262&gt;= 70,"A",S262&gt;=60,"B",S262&gt;=50,"C",S262&gt;=45,"D",S262&gt;=40,"E",S262&lt;40,"F")</f>
        <v>C</v>
      </c>
      <c r="T263" s="51" t="str" cm="1">
        <f t="array" ref="T263">_xlfn.IFS(T262&gt;= 70,"A",T262&gt;=60,"B",T262&gt;=50,"C",T262&gt;=45,"D",T262&gt;=40,"E",T262&lt;40,"F")</f>
        <v>C</v>
      </c>
      <c r="U263" s="51" t="str" cm="1">
        <f t="array" ref="U263">_xlfn.IFS(U262&gt;= 70,"A",U262&gt;=60,"B",U262&gt;=50,"C",U262&gt;=45,"D",U262&gt;=40,"E",U262&lt;40,"F")</f>
        <v>C</v>
      </c>
      <c r="V263" s="51" t="str" cm="1">
        <f t="array" ref="V263">_xlfn.IFS(V262&gt;= 70,"A",V262&gt;=60,"B",V262&gt;=50,"C",V262&gt;=45,"D",V262&gt;=40,"E",V262&lt;40,"F")</f>
        <v>C</v>
      </c>
      <c r="W263" s="50" t="str" cm="1">
        <f t="array" ref="W263">_xlfn.IFS(W262&gt;= 70,"A",W262&gt;=60,"B",W262&gt;=50,"C",W262&gt;=45,"D",W262&gt;=40,"E",W262&lt;40,"F")</f>
        <v>C</v>
      </c>
      <c r="X263" s="7"/>
      <c r="Y263" s="7"/>
      <c r="Z263" s="7"/>
      <c r="AA263" s="7"/>
      <c r="AB263" s="7"/>
      <c r="AC263" s="7"/>
      <c r="AD263" s="7"/>
      <c r="AE263" s="7"/>
      <c r="AF263" s="7"/>
      <c r="AM263" s="56">
        <f t="shared" ref="AM263" si="509">SUMIFS($I$4:$W$4,I262:W262,"&gt;0")</f>
        <v>23</v>
      </c>
      <c r="AN263" s="47">
        <f t="shared" ref="AN263" si="510">(SUMIFS($I$4:$W$4,I262:W262,"&gt;0")-SUMIFS($I$4:$W$4,I263:W263,"F"))</f>
        <v>23</v>
      </c>
      <c r="AO263" s="56">
        <f t="shared" ref="AO263" si="511">SUMIFS($I$4:$W$4,I263:W263,"F")</f>
        <v>0</v>
      </c>
      <c r="AP263" s="76"/>
      <c r="AQ263" s="74"/>
      <c r="AR263" s="71"/>
    </row>
    <row r="264" spans="1:44" ht="15" thickTop="1" x14ac:dyDescent="0.3">
      <c r="A264" s="68">
        <v>130</v>
      </c>
      <c r="B264" s="70"/>
      <c r="C264" s="75"/>
      <c r="D264" s="84"/>
      <c r="E264" s="84"/>
      <c r="F264" s="84"/>
      <c r="G264" s="84"/>
      <c r="H264" s="85"/>
      <c r="I264" s="49">
        <v>56</v>
      </c>
      <c r="J264" s="49">
        <v>46</v>
      </c>
      <c r="K264" s="49">
        <v>47</v>
      </c>
      <c r="L264" s="49">
        <v>48</v>
      </c>
      <c r="M264" s="49">
        <v>49</v>
      </c>
      <c r="N264" s="49">
        <v>50</v>
      </c>
      <c r="O264" s="49">
        <v>51</v>
      </c>
      <c r="P264" s="49">
        <v>52</v>
      </c>
      <c r="Q264" s="49">
        <v>53</v>
      </c>
      <c r="R264" s="49">
        <v>54</v>
      </c>
      <c r="S264" s="49">
        <v>55</v>
      </c>
      <c r="T264" s="49">
        <v>56</v>
      </c>
      <c r="U264" s="49">
        <v>57</v>
      </c>
      <c r="V264" s="49">
        <v>58</v>
      </c>
      <c r="W264" s="49">
        <v>59</v>
      </c>
      <c r="X264" s="7"/>
      <c r="Y264" s="7"/>
      <c r="Z264" s="7"/>
      <c r="AA264" s="7"/>
      <c r="AB264" s="7"/>
      <c r="AC264" s="7"/>
      <c r="AD264" s="7"/>
      <c r="AE264" s="7"/>
      <c r="AF264" s="7"/>
      <c r="AM264" s="59"/>
      <c r="AN264" s="46"/>
      <c r="AO264" s="59"/>
      <c r="AP264" s="75" cm="1">
        <f t="array" ref="AP264">SUM(VLOOKUP(I265:W265,GRADEPOINT!$A$2:$B$7,2,0)*$I$4:$W$4)</f>
        <v>63</v>
      </c>
      <c r="AQ264" s="73">
        <f t="shared" ref="AQ264" si="512">ROUND(AP264/AM265,2)</f>
        <v>2.74</v>
      </c>
      <c r="AR264" s="72"/>
    </row>
    <row r="265" spans="1:44" ht="15" thickBot="1" x14ac:dyDescent="0.35">
      <c r="A265" s="69"/>
      <c r="B265" s="71"/>
      <c r="C265" s="86"/>
      <c r="D265" s="87"/>
      <c r="E265" s="87"/>
      <c r="F265" s="87"/>
      <c r="G265" s="87"/>
      <c r="H265" s="88"/>
      <c r="I265" s="51" t="str" cm="1">
        <f t="array" ref="I265">_xlfn.IFS(I264&gt;= 70,"A",I264&gt;=60,"B",I264&gt;=50,"C",I264&gt;=45,"D",I264&gt;=40,"E",I264&lt;40,"F")</f>
        <v>C</v>
      </c>
      <c r="J265" s="51" t="str" cm="1">
        <f t="array" ref="J265">_xlfn.IFS(J264&gt;= 70,"A",J264&gt;=60,"B",J264&gt;=50,"C",J264&gt;=45,"D",J264&gt;=40,"E",J264&lt;40,"F")</f>
        <v>D</v>
      </c>
      <c r="K265" s="51" t="str" cm="1">
        <f t="array" ref="K265">_xlfn.IFS(K264&gt;= 70,"A",K264&gt;=60,"B",K264&gt;=50,"C",K264&gt;=45,"D",K264&gt;=40,"E",K264&lt;40,"F")</f>
        <v>D</v>
      </c>
      <c r="L265" s="50" t="str" cm="1">
        <f t="array" ref="L265">_xlfn.IFS(L264&gt;= 70,"A",L264&gt;=60,"B",L264&gt;=50,"C",L264&gt;=45,"D",L264&gt;=40,"E",L264&lt;40,"F")</f>
        <v>D</v>
      </c>
      <c r="M265" s="51" t="str" cm="1">
        <f t="array" ref="M265">_xlfn.IFS(M264&gt;= 70,"A",M264&gt;=60,"B",M264&gt;=50,"C",M264&gt;=45,"D",M264&gt;=40,"E",M264&lt;40,"F")</f>
        <v>D</v>
      </c>
      <c r="N265" s="51" t="str" cm="1">
        <f t="array" ref="N265">_xlfn.IFS(N264&gt;= 70,"A",N264&gt;=60,"B",N264&gt;=50,"C",N264&gt;=45,"D",N264&gt;=40,"E",N264&lt;40,"F")</f>
        <v>C</v>
      </c>
      <c r="O265" s="51" t="str" cm="1">
        <f t="array" ref="O265">_xlfn.IFS(O264&gt;= 70,"A",O264&gt;=60,"B",O264&gt;=50,"C",O264&gt;=45,"D",O264&gt;=40,"E",O264&lt;40,"F")</f>
        <v>C</v>
      </c>
      <c r="P265" s="51" t="str" cm="1">
        <f t="array" ref="P265">_xlfn.IFS(P264&gt;= 70,"A",P264&gt;=60,"B",P264&gt;=50,"C",P264&gt;=45,"D",P264&gt;=40,"E",P264&lt;40,"F")</f>
        <v>C</v>
      </c>
      <c r="Q265" s="51" t="str" cm="1">
        <f t="array" ref="Q265">_xlfn.IFS(Q264&gt;= 70,"A",Q264&gt;=60,"B",Q264&gt;=50,"C",Q264&gt;=45,"D",Q264&gt;=40,"E",Q264&lt;40,"F")</f>
        <v>C</v>
      </c>
      <c r="R265" s="51" t="str" cm="1">
        <f t="array" ref="R265">_xlfn.IFS(R264&gt;= 70,"A",R264&gt;=60,"B",R264&gt;=50,"C",R264&gt;=45,"D",R264&gt;=40,"E",R264&lt;40,"F")</f>
        <v>C</v>
      </c>
      <c r="S265" s="51" t="str" cm="1">
        <f t="array" ref="S265">_xlfn.IFS(S264&gt;= 70,"A",S264&gt;=60,"B",S264&gt;=50,"C",S264&gt;=45,"D",S264&gt;=40,"E",S264&lt;40,"F")</f>
        <v>C</v>
      </c>
      <c r="T265" s="51" t="str" cm="1">
        <f t="array" ref="T265">_xlfn.IFS(T264&gt;= 70,"A",T264&gt;=60,"B",T264&gt;=50,"C",T264&gt;=45,"D",T264&gt;=40,"E",T264&lt;40,"F")</f>
        <v>C</v>
      </c>
      <c r="U265" s="51" t="str" cm="1">
        <f t="array" ref="U265">_xlfn.IFS(U264&gt;= 70,"A",U264&gt;=60,"B",U264&gt;=50,"C",U264&gt;=45,"D",U264&gt;=40,"E",U264&lt;40,"F")</f>
        <v>C</v>
      </c>
      <c r="V265" s="51" t="str" cm="1">
        <f t="array" ref="V265">_xlfn.IFS(V264&gt;= 70,"A",V264&gt;=60,"B",V264&gt;=50,"C",V264&gt;=45,"D",V264&gt;=40,"E",V264&lt;40,"F")</f>
        <v>C</v>
      </c>
      <c r="W265" s="50" t="str" cm="1">
        <f t="array" ref="W265">_xlfn.IFS(W264&gt;= 70,"A",W264&gt;=60,"B",W264&gt;=50,"C",W264&gt;=45,"D",W264&gt;=40,"E",W264&lt;40,"F")</f>
        <v>C</v>
      </c>
      <c r="X265" s="7"/>
      <c r="Y265" s="7"/>
      <c r="Z265" s="7"/>
      <c r="AA265" s="7"/>
      <c r="AB265" s="7"/>
      <c r="AC265" s="7"/>
      <c r="AD265" s="7"/>
      <c r="AE265" s="7"/>
      <c r="AF265" s="7"/>
      <c r="AM265" s="56">
        <f t="shared" ref="AM265" si="513">SUMIFS($I$4:$W$4,I264:W264,"&gt;0")</f>
        <v>23</v>
      </c>
      <c r="AN265" s="47">
        <f t="shared" ref="AN265" si="514">(SUMIFS($I$4:$W$4,I264:W264,"&gt;0")-SUMIFS($I$4:$W$4,I265:W265,"F"))</f>
        <v>23</v>
      </c>
      <c r="AO265" s="56">
        <f t="shared" ref="AO265" si="515">SUMIFS($I$4:$W$4,I265:W265,"F")</f>
        <v>0</v>
      </c>
      <c r="AP265" s="76"/>
      <c r="AQ265" s="74"/>
      <c r="AR265" s="71"/>
    </row>
    <row r="266" spans="1:44" ht="15" thickTop="1" x14ac:dyDescent="0.3">
      <c r="A266" s="68">
        <v>131</v>
      </c>
      <c r="B266" s="70"/>
      <c r="C266" s="75"/>
      <c r="D266" s="84"/>
      <c r="E266" s="84"/>
      <c r="F266" s="84"/>
      <c r="G266" s="84"/>
      <c r="H266" s="85"/>
      <c r="I266" s="49">
        <v>56</v>
      </c>
      <c r="J266" s="49">
        <v>46</v>
      </c>
      <c r="K266" s="49">
        <v>47</v>
      </c>
      <c r="L266" s="49">
        <v>48</v>
      </c>
      <c r="M266" s="49">
        <v>49</v>
      </c>
      <c r="N266" s="49">
        <v>50</v>
      </c>
      <c r="O266" s="49">
        <v>51</v>
      </c>
      <c r="P266" s="49">
        <v>52</v>
      </c>
      <c r="Q266" s="49">
        <v>53</v>
      </c>
      <c r="R266" s="49">
        <v>54</v>
      </c>
      <c r="S266" s="49">
        <v>55</v>
      </c>
      <c r="T266" s="49">
        <v>56</v>
      </c>
      <c r="U266" s="49">
        <v>57</v>
      </c>
      <c r="V266" s="49">
        <v>58</v>
      </c>
      <c r="W266" s="49">
        <v>59</v>
      </c>
      <c r="X266" s="7"/>
      <c r="Y266" s="7"/>
      <c r="Z266" s="7"/>
      <c r="AA266" s="7"/>
      <c r="AB266" s="7"/>
      <c r="AC266" s="7"/>
      <c r="AD266" s="7"/>
      <c r="AE266" s="7"/>
      <c r="AF266" s="7"/>
      <c r="AM266" s="59"/>
      <c r="AN266" s="46"/>
      <c r="AO266" s="59"/>
      <c r="AP266" s="75" cm="1">
        <f t="array" ref="AP266">SUM(VLOOKUP(I267:W267,GRADEPOINT!$A$2:$B$7,2,0)*$I$4:$W$4)</f>
        <v>63</v>
      </c>
      <c r="AQ266" s="73">
        <f t="shared" ref="AQ266" si="516">ROUND(AP266/AM267,2)</f>
        <v>2.74</v>
      </c>
      <c r="AR266" s="72"/>
    </row>
    <row r="267" spans="1:44" ht="15" thickBot="1" x14ac:dyDescent="0.35">
      <c r="A267" s="69"/>
      <c r="B267" s="71"/>
      <c r="C267" s="86"/>
      <c r="D267" s="87"/>
      <c r="E267" s="87"/>
      <c r="F267" s="87"/>
      <c r="G267" s="87"/>
      <c r="H267" s="88"/>
      <c r="I267" s="51" t="str" cm="1">
        <f t="array" ref="I267">_xlfn.IFS(I266&gt;= 70,"A",I266&gt;=60,"B",I266&gt;=50,"C",I266&gt;=45,"D",I266&gt;=40,"E",I266&lt;40,"F")</f>
        <v>C</v>
      </c>
      <c r="J267" s="51" t="str" cm="1">
        <f t="array" ref="J267">_xlfn.IFS(J266&gt;= 70,"A",J266&gt;=60,"B",J266&gt;=50,"C",J266&gt;=45,"D",J266&gt;=40,"E",J266&lt;40,"F")</f>
        <v>D</v>
      </c>
      <c r="K267" s="51" t="str" cm="1">
        <f t="array" ref="K267">_xlfn.IFS(K266&gt;= 70,"A",K266&gt;=60,"B",K266&gt;=50,"C",K266&gt;=45,"D",K266&gt;=40,"E",K266&lt;40,"F")</f>
        <v>D</v>
      </c>
      <c r="L267" s="50" t="str" cm="1">
        <f t="array" ref="L267">_xlfn.IFS(L266&gt;= 70,"A",L266&gt;=60,"B",L266&gt;=50,"C",L266&gt;=45,"D",L266&gt;=40,"E",L266&lt;40,"F")</f>
        <v>D</v>
      </c>
      <c r="M267" s="51" t="str" cm="1">
        <f t="array" ref="M267">_xlfn.IFS(M266&gt;= 70,"A",M266&gt;=60,"B",M266&gt;=50,"C",M266&gt;=45,"D",M266&gt;=40,"E",M266&lt;40,"F")</f>
        <v>D</v>
      </c>
      <c r="N267" s="51" t="str" cm="1">
        <f t="array" ref="N267">_xlfn.IFS(N266&gt;= 70,"A",N266&gt;=60,"B",N266&gt;=50,"C",N266&gt;=45,"D",N266&gt;=40,"E",N266&lt;40,"F")</f>
        <v>C</v>
      </c>
      <c r="O267" s="51" t="str" cm="1">
        <f t="array" ref="O267">_xlfn.IFS(O266&gt;= 70,"A",O266&gt;=60,"B",O266&gt;=50,"C",O266&gt;=45,"D",O266&gt;=40,"E",O266&lt;40,"F")</f>
        <v>C</v>
      </c>
      <c r="P267" s="51" t="str" cm="1">
        <f t="array" ref="P267">_xlfn.IFS(P266&gt;= 70,"A",P266&gt;=60,"B",P266&gt;=50,"C",P266&gt;=45,"D",P266&gt;=40,"E",P266&lt;40,"F")</f>
        <v>C</v>
      </c>
      <c r="Q267" s="51" t="str" cm="1">
        <f t="array" ref="Q267">_xlfn.IFS(Q266&gt;= 70,"A",Q266&gt;=60,"B",Q266&gt;=50,"C",Q266&gt;=45,"D",Q266&gt;=40,"E",Q266&lt;40,"F")</f>
        <v>C</v>
      </c>
      <c r="R267" s="51" t="str" cm="1">
        <f t="array" ref="R267">_xlfn.IFS(R266&gt;= 70,"A",R266&gt;=60,"B",R266&gt;=50,"C",R266&gt;=45,"D",R266&gt;=40,"E",R266&lt;40,"F")</f>
        <v>C</v>
      </c>
      <c r="S267" s="51" t="str" cm="1">
        <f t="array" ref="S267">_xlfn.IFS(S266&gt;= 70,"A",S266&gt;=60,"B",S266&gt;=50,"C",S266&gt;=45,"D",S266&gt;=40,"E",S266&lt;40,"F")</f>
        <v>C</v>
      </c>
      <c r="T267" s="51" t="str" cm="1">
        <f t="array" ref="T267">_xlfn.IFS(T266&gt;= 70,"A",T266&gt;=60,"B",T266&gt;=50,"C",T266&gt;=45,"D",T266&gt;=40,"E",T266&lt;40,"F")</f>
        <v>C</v>
      </c>
      <c r="U267" s="51" t="str" cm="1">
        <f t="array" ref="U267">_xlfn.IFS(U266&gt;= 70,"A",U266&gt;=60,"B",U266&gt;=50,"C",U266&gt;=45,"D",U266&gt;=40,"E",U266&lt;40,"F")</f>
        <v>C</v>
      </c>
      <c r="V267" s="51" t="str" cm="1">
        <f t="array" ref="V267">_xlfn.IFS(V266&gt;= 70,"A",V266&gt;=60,"B",V266&gt;=50,"C",V266&gt;=45,"D",V266&gt;=40,"E",V266&lt;40,"F")</f>
        <v>C</v>
      </c>
      <c r="W267" s="50" t="str" cm="1">
        <f t="array" ref="W267">_xlfn.IFS(W266&gt;= 70,"A",W266&gt;=60,"B",W266&gt;=50,"C",W266&gt;=45,"D",W266&gt;=40,"E",W266&lt;40,"F")</f>
        <v>C</v>
      </c>
      <c r="X267" s="7"/>
      <c r="Y267" s="7"/>
      <c r="Z267" s="7"/>
      <c r="AA267" s="7"/>
      <c r="AB267" s="7"/>
      <c r="AC267" s="7"/>
      <c r="AD267" s="7"/>
      <c r="AE267" s="7"/>
      <c r="AF267" s="7"/>
      <c r="AM267" s="56">
        <f t="shared" ref="AM267" si="517">SUMIFS($I$4:$W$4,I266:W266,"&gt;0")</f>
        <v>23</v>
      </c>
      <c r="AN267" s="47">
        <f t="shared" ref="AN267" si="518">(SUMIFS($I$4:$W$4,I266:W266,"&gt;0")-SUMIFS($I$4:$W$4,I267:W267,"F"))</f>
        <v>23</v>
      </c>
      <c r="AO267" s="56">
        <f t="shared" ref="AO267" si="519">SUMIFS($I$4:$W$4,I267:W267,"F")</f>
        <v>0</v>
      </c>
      <c r="AP267" s="76"/>
      <c r="AQ267" s="74"/>
      <c r="AR267" s="71"/>
    </row>
    <row r="268" spans="1:44" ht="15" thickTop="1" x14ac:dyDescent="0.3">
      <c r="A268" s="68">
        <v>132</v>
      </c>
      <c r="B268" s="70"/>
      <c r="C268" s="75"/>
      <c r="D268" s="84"/>
      <c r="E268" s="84"/>
      <c r="F268" s="84"/>
      <c r="G268" s="84"/>
      <c r="H268" s="85"/>
      <c r="I268" s="49">
        <v>56</v>
      </c>
      <c r="J268" s="49">
        <v>46</v>
      </c>
      <c r="K268" s="49">
        <v>47</v>
      </c>
      <c r="L268" s="49">
        <v>48</v>
      </c>
      <c r="M268" s="49">
        <v>49</v>
      </c>
      <c r="N268" s="49">
        <v>50</v>
      </c>
      <c r="O268" s="49">
        <v>51</v>
      </c>
      <c r="P268" s="49">
        <v>52</v>
      </c>
      <c r="Q268" s="49">
        <v>53</v>
      </c>
      <c r="R268" s="49">
        <v>54</v>
      </c>
      <c r="S268" s="49">
        <v>55</v>
      </c>
      <c r="T268" s="49">
        <v>56</v>
      </c>
      <c r="U268" s="49">
        <v>57</v>
      </c>
      <c r="V268" s="49">
        <v>58</v>
      </c>
      <c r="W268" s="49">
        <v>59</v>
      </c>
      <c r="X268" s="7"/>
      <c r="Y268" s="7"/>
      <c r="Z268" s="7"/>
      <c r="AA268" s="7"/>
      <c r="AB268" s="7"/>
      <c r="AC268" s="7"/>
      <c r="AD268" s="7"/>
      <c r="AE268" s="7"/>
      <c r="AF268" s="7"/>
      <c r="AM268" s="59"/>
      <c r="AN268" s="46"/>
      <c r="AO268" s="59"/>
      <c r="AP268" s="75" cm="1">
        <f t="array" ref="AP268">SUM(VLOOKUP(I269:W269,GRADEPOINT!$A$2:$B$7,2,0)*$I$4:$W$4)</f>
        <v>63</v>
      </c>
      <c r="AQ268" s="73">
        <f t="shared" ref="AQ268" si="520">ROUND(AP268/AM269,2)</f>
        <v>2.74</v>
      </c>
      <c r="AR268" s="72"/>
    </row>
    <row r="269" spans="1:44" ht="15" thickBot="1" x14ac:dyDescent="0.35">
      <c r="A269" s="69"/>
      <c r="B269" s="71"/>
      <c r="C269" s="86"/>
      <c r="D269" s="87"/>
      <c r="E269" s="87"/>
      <c r="F269" s="87"/>
      <c r="G269" s="87"/>
      <c r="H269" s="88"/>
      <c r="I269" s="51" t="str" cm="1">
        <f t="array" ref="I269">_xlfn.IFS(I268&gt;= 70,"A",I268&gt;=60,"B",I268&gt;=50,"C",I268&gt;=45,"D",I268&gt;=40,"E",I268&lt;40,"F")</f>
        <v>C</v>
      </c>
      <c r="J269" s="51" t="str" cm="1">
        <f t="array" ref="J269">_xlfn.IFS(J268&gt;= 70,"A",J268&gt;=60,"B",J268&gt;=50,"C",J268&gt;=45,"D",J268&gt;=40,"E",J268&lt;40,"F")</f>
        <v>D</v>
      </c>
      <c r="K269" s="51" t="str" cm="1">
        <f t="array" ref="K269">_xlfn.IFS(K268&gt;= 70,"A",K268&gt;=60,"B",K268&gt;=50,"C",K268&gt;=45,"D",K268&gt;=40,"E",K268&lt;40,"F")</f>
        <v>D</v>
      </c>
      <c r="L269" s="50" t="str" cm="1">
        <f t="array" ref="L269">_xlfn.IFS(L268&gt;= 70,"A",L268&gt;=60,"B",L268&gt;=50,"C",L268&gt;=45,"D",L268&gt;=40,"E",L268&lt;40,"F")</f>
        <v>D</v>
      </c>
      <c r="M269" s="51" t="str" cm="1">
        <f t="array" ref="M269">_xlfn.IFS(M268&gt;= 70,"A",M268&gt;=60,"B",M268&gt;=50,"C",M268&gt;=45,"D",M268&gt;=40,"E",M268&lt;40,"F")</f>
        <v>D</v>
      </c>
      <c r="N269" s="51" t="str" cm="1">
        <f t="array" ref="N269">_xlfn.IFS(N268&gt;= 70,"A",N268&gt;=60,"B",N268&gt;=50,"C",N268&gt;=45,"D",N268&gt;=40,"E",N268&lt;40,"F")</f>
        <v>C</v>
      </c>
      <c r="O269" s="51" t="str" cm="1">
        <f t="array" ref="O269">_xlfn.IFS(O268&gt;= 70,"A",O268&gt;=60,"B",O268&gt;=50,"C",O268&gt;=45,"D",O268&gt;=40,"E",O268&lt;40,"F")</f>
        <v>C</v>
      </c>
      <c r="P269" s="51" t="str" cm="1">
        <f t="array" ref="P269">_xlfn.IFS(P268&gt;= 70,"A",P268&gt;=60,"B",P268&gt;=50,"C",P268&gt;=45,"D",P268&gt;=40,"E",P268&lt;40,"F")</f>
        <v>C</v>
      </c>
      <c r="Q269" s="51" t="str" cm="1">
        <f t="array" ref="Q269">_xlfn.IFS(Q268&gt;= 70,"A",Q268&gt;=60,"B",Q268&gt;=50,"C",Q268&gt;=45,"D",Q268&gt;=40,"E",Q268&lt;40,"F")</f>
        <v>C</v>
      </c>
      <c r="R269" s="51" t="str" cm="1">
        <f t="array" ref="R269">_xlfn.IFS(R268&gt;= 70,"A",R268&gt;=60,"B",R268&gt;=50,"C",R268&gt;=45,"D",R268&gt;=40,"E",R268&lt;40,"F")</f>
        <v>C</v>
      </c>
      <c r="S269" s="51" t="str" cm="1">
        <f t="array" ref="S269">_xlfn.IFS(S268&gt;= 70,"A",S268&gt;=60,"B",S268&gt;=50,"C",S268&gt;=45,"D",S268&gt;=40,"E",S268&lt;40,"F")</f>
        <v>C</v>
      </c>
      <c r="T269" s="51" t="str" cm="1">
        <f t="array" ref="T269">_xlfn.IFS(T268&gt;= 70,"A",T268&gt;=60,"B",T268&gt;=50,"C",T268&gt;=45,"D",T268&gt;=40,"E",T268&lt;40,"F")</f>
        <v>C</v>
      </c>
      <c r="U269" s="51" t="str" cm="1">
        <f t="array" ref="U269">_xlfn.IFS(U268&gt;= 70,"A",U268&gt;=60,"B",U268&gt;=50,"C",U268&gt;=45,"D",U268&gt;=40,"E",U268&lt;40,"F")</f>
        <v>C</v>
      </c>
      <c r="V269" s="51" t="str" cm="1">
        <f t="array" ref="V269">_xlfn.IFS(V268&gt;= 70,"A",V268&gt;=60,"B",V268&gt;=50,"C",V268&gt;=45,"D",V268&gt;=40,"E",V268&lt;40,"F")</f>
        <v>C</v>
      </c>
      <c r="W269" s="50" t="str" cm="1">
        <f t="array" ref="W269">_xlfn.IFS(W268&gt;= 70,"A",W268&gt;=60,"B",W268&gt;=50,"C",W268&gt;=45,"D",W268&gt;=40,"E",W268&lt;40,"F")</f>
        <v>C</v>
      </c>
      <c r="X269" s="7"/>
      <c r="Y269" s="7"/>
      <c r="Z269" s="7"/>
      <c r="AA269" s="7"/>
      <c r="AB269" s="7"/>
      <c r="AC269" s="7"/>
      <c r="AD269" s="7"/>
      <c r="AE269" s="7"/>
      <c r="AF269" s="7"/>
      <c r="AM269" s="56">
        <f t="shared" ref="AM269" si="521">SUMIFS($I$4:$W$4,I268:W268,"&gt;0")</f>
        <v>23</v>
      </c>
      <c r="AN269" s="47">
        <f t="shared" ref="AN269" si="522">(SUMIFS($I$4:$W$4,I268:W268,"&gt;0")-SUMIFS($I$4:$W$4,I269:W269,"F"))</f>
        <v>23</v>
      </c>
      <c r="AO269" s="56">
        <f t="shared" ref="AO269" si="523">SUMIFS($I$4:$W$4,I269:W269,"F")</f>
        <v>0</v>
      </c>
      <c r="AP269" s="76"/>
      <c r="AQ269" s="74"/>
      <c r="AR269" s="71"/>
    </row>
    <row r="270" spans="1:44" ht="15" thickTop="1" x14ac:dyDescent="0.3">
      <c r="A270" s="68">
        <v>133</v>
      </c>
      <c r="B270" s="70"/>
      <c r="C270" s="75"/>
      <c r="D270" s="84"/>
      <c r="E270" s="84"/>
      <c r="F270" s="84"/>
      <c r="G270" s="84"/>
      <c r="H270" s="85"/>
      <c r="I270" s="49">
        <v>56</v>
      </c>
      <c r="J270" s="49">
        <v>46</v>
      </c>
      <c r="K270" s="49">
        <v>47</v>
      </c>
      <c r="L270" s="49">
        <v>48</v>
      </c>
      <c r="M270" s="49">
        <v>49</v>
      </c>
      <c r="N270" s="49">
        <v>50</v>
      </c>
      <c r="O270" s="49">
        <v>51</v>
      </c>
      <c r="P270" s="49">
        <v>52</v>
      </c>
      <c r="Q270" s="49">
        <v>53</v>
      </c>
      <c r="R270" s="49">
        <v>54</v>
      </c>
      <c r="S270" s="49">
        <v>55</v>
      </c>
      <c r="T270" s="49">
        <v>56</v>
      </c>
      <c r="U270" s="49">
        <v>57</v>
      </c>
      <c r="V270" s="49">
        <v>58</v>
      </c>
      <c r="W270" s="49">
        <v>59</v>
      </c>
      <c r="X270" s="7"/>
      <c r="Y270" s="7"/>
      <c r="Z270" s="7"/>
      <c r="AA270" s="7"/>
      <c r="AB270" s="7"/>
      <c r="AC270" s="7"/>
      <c r="AD270" s="7"/>
      <c r="AE270" s="7"/>
      <c r="AF270" s="7"/>
      <c r="AM270" s="59"/>
      <c r="AN270" s="46"/>
      <c r="AO270" s="59"/>
      <c r="AP270" s="75" cm="1">
        <f t="array" ref="AP270">SUM(VLOOKUP(I271:W271,GRADEPOINT!$A$2:$B$7,2,0)*$I$4:$W$4)</f>
        <v>63</v>
      </c>
      <c r="AQ270" s="73">
        <f t="shared" ref="AQ270" si="524">ROUND(AP270/AM271,2)</f>
        <v>2.74</v>
      </c>
      <c r="AR270" s="72"/>
    </row>
    <row r="271" spans="1:44" ht="15" thickBot="1" x14ac:dyDescent="0.35">
      <c r="A271" s="69"/>
      <c r="B271" s="71"/>
      <c r="C271" s="86"/>
      <c r="D271" s="87"/>
      <c r="E271" s="87"/>
      <c r="F271" s="87"/>
      <c r="G271" s="87"/>
      <c r="H271" s="88"/>
      <c r="I271" s="51" t="str" cm="1">
        <f t="array" ref="I271">_xlfn.IFS(I270&gt;= 70,"A",I270&gt;=60,"B",I270&gt;=50,"C",I270&gt;=45,"D",I270&gt;=40,"E",I270&lt;40,"F")</f>
        <v>C</v>
      </c>
      <c r="J271" s="51" t="str" cm="1">
        <f t="array" ref="J271">_xlfn.IFS(J270&gt;= 70,"A",J270&gt;=60,"B",J270&gt;=50,"C",J270&gt;=45,"D",J270&gt;=40,"E",J270&lt;40,"F")</f>
        <v>D</v>
      </c>
      <c r="K271" s="51" t="str" cm="1">
        <f t="array" ref="K271">_xlfn.IFS(K270&gt;= 70,"A",K270&gt;=60,"B",K270&gt;=50,"C",K270&gt;=45,"D",K270&gt;=40,"E",K270&lt;40,"F")</f>
        <v>D</v>
      </c>
      <c r="L271" s="50" t="str" cm="1">
        <f t="array" ref="L271">_xlfn.IFS(L270&gt;= 70,"A",L270&gt;=60,"B",L270&gt;=50,"C",L270&gt;=45,"D",L270&gt;=40,"E",L270&lt;40,"F")</f>
        <v>D</v>
      </c>
      <c r="M271" s="51" t="str" cm="1">
        <f t="array" ref="M271">_xlfn.IFS(M270&gt;= 70,"A",M270&gt;=60,"B",M270&gt;=50,"C",M270&gt;=45,"D",M270&gt;=40,"E",M270&lt;40,"F")</f>
        <v>D</v>
      </c>
      <c r="N271" s="51" t="str" cm="1">
        <f t="array" ref="N271">_xlfn.IFS(N270&gt;= 70,"A",N270&gt;=60,"B",N270&gt;=50,"C",N270&gt;=45,"D",N270&gt;=40,"E",N270&lt;40,"F")</f>
        <v>C</v>
      </c>
      <c r="O271" s="51" t="str" cm="1">
        <f t="array" ref="O271">_xlfn.IFS(O270&gt;= 70,"A",O270&gt;=60,"B",O270&gt;=50,"C",O270&gt;=45,"D",O270&gt;=40,"E",O270&lt;40,"F")</f>
        <v>C</v>
      </c>
      <c r="P271" s="51" t="str" cm="1">
        <f t="array" ref="P271">_xlfn.IFS(P270&gt;= 70,"A",P270&gt;=60,"B",P270&gt;=50,"C",P270&gt;=45,"D",P270&gt;=40,"E",P270&lt;40,"F")</f>
        <v>C</v>
      </c>
      <c r="Q271" s="51" t="str" cm="1">
        <f t="array" ref="Q271">_xlfn.IFS(Q270&gt;= 70,"A",Q270&gt;=60,"B",Q270&gt;=50,"C",Q270&gt;=45,"D",Q270&gt;=40,"E",Q270&lt;40,"F")</f>
        <v>C</v>
      </c>
      <c r="R271" s="51" t="str" cm="1">
        <f t="array" ref="R271">_xlfn.IFS(R270&gt;= 70,"A",R270&gt;=60,"B",R270&gt;=50,"C",R270&gt;=45,"D",R270&gt;=40,"E",R270&lt;40,"F")</f>
        <v>C</v>
      </c>
      <c r="S271" s="51" t="str" cm="1">
        <f t="array" ref="S271">_xlfn.IFS(S270&gt;= 70,"A",S270&gt;=60,"B",S270&gt;=50,"C",S270&gt;=45,"D",S270&gt;=40,"E",S270&lt;40,"F")</f>
        <v>C</v>
      </c>
      <c r="T271" s="51" t="str" cm="1">
        <f t="array" ref="T271">_xlfn.IFS(T270&gt;= 70,"A",T270&gt;=60,"B",T270&gt;=50,"C",T270&gt;=45,"D",T270&gt;=40,"E",T270&lt;40,"F")</f>
        <v>C</v>
      </c>
      <c r="U271" s="51" t="str" cm="1">
        <f t="array" ref="U271">_xlfn.IFS(U270&gt;= 70,"A",U270&gt;=60,"B",U270&gt;=50,"C",U270&gt;=45,"D",U270&gt;=40,"E",U270&lt;40,"F")</f>
        <v>C</v>
      </c>
      <c r="V271" s="51" t="str" cm="1">
        <f t="array" ref="V271">_xlfn.IFS(V270&gt;= 70,"A",V270&gt;=60,"B",V270&gt;=50,"C",V270&gt;=45,"D",V270&gt;=40,"E",V270&lt;40,"F")</f>
        <v>C</v>
      </c>
      <c r="W271" s="50" t="str" cm="1">
        <f t="array" ref="W271">_xlfn.IFS(W270&gt;= 70,"A",W270&gt;=60,"B",W270&gt;=50,"C",W270&gt;=45,"D",W270&gt;=40,"E",W270&lt;40,"F")</f>
        <v>C</v>
      </c>
      <c r="X271" s="7"/>
      <c r="Y271" s="7"/>
      <c r="Z271" s="7"/>
      <c r="AA271" s="7"/>
      <c r="AB271" s="7"/>
      <c r="AC271" s="7"/>
      <c r="AD271" s="7"/>
      <c r="AE271" s="7"/>
      <c r="AF271" s="7"/>
      <c r="AM271" s="56">
        <f t="shared" ref="AM271" si="525">SUMIFS($I$4:$W$4,I270:W270,"&gt;0")</f>
        <v>23</v>
      </c>
      <c r="AN271" s="47">
        <f t="shared" ref="AN271" si="526">(SUMIFS($I$4:$W$4,I270:W270,"&gt;0")-SUMIFS($I$4:$W$4,I271:W271,"F"))</f>
        <v>23</v>
      </c>
      <c r="AO271" s="56">
        <f t="shared" ref="AO271" si="527">SUMIFS($I$4:$W$4,I271:W271,"F")</f>
        <v>0</v>
      </c>
      <c r="AP271" s="76"/>
      <c r="AQ271" s="74"/>
      <c r="AR271" s="71"/>
    </row>
    <row r="272" spans="1:44" ht="15" thickTop="1" x14ac:dyDescent="0.3">
      <c r="A272" s="68">
        <v>134</v>
      </c>
      <c r="B272" s="70"/>
      <c r="C272" s="75"/>
      <c r="D272" s="84"/>
      <c r="E272" s="84"/>
      <c r="F272" s="84"/>
      <c r="G272" s="84"/>
      <c r="H272" s="85"/>
      <c r="I272" s="49">
        <v>56</v>
      </c>
      <c r="J272" s="49">
        <v>46</v>
      </c>
      <c r="K272" s="49">
        <v>47</v>
      </c>
      <c r="L272" s="49">
        <v>48</v>
      </c>
      <c r="M272" s="49">
        <v>49</v>
      </c>
      <c r="N272" s="49">
        <v>50</v>
      </c>
      <c r="O272" s="49">
        <v>51</v>
      </c>
      <c r="P272" s="49">
        <v>52</v>
      </c>
      <c r="Q272" s="49">
        <v>53</v>
      </c>
      <c r="R272" s="49">
        <v>54</v>
      </c>
      <c r="S272" s="49">
        <v>55</v>
      </c>
      <c r="T272" s="49">
        <v>56</v>
      </c>
      <c r="U272" s="49">
        <v>57</v>
      </c>
      <c r="V272" s="49">
        <v>58</v>
      </c>
      <c r="W272" s="49">
        <v>59</v>
      </c>
      <c r="X272" s="7"/>
      <c r="Y272" s="7"/>
      <c r="Z272" s="7"/>
      <c r="AA272" s="7"/>
      <c r="AB272" s="7"/>
      <c r="AC272" s="7"/>
      <c r="AD272" s="7"/>
      <c r="AE272" s="7"/>
      <c r="AF272" s="7"/>
      <c r="AM272" s="59"/>
      <c r="AN272" s="46"/>
      <c r="AO272" s="59"/>
      <c r="AP272" s="75" cm="1">
        <f t="array" ref="AP272">SUM(VLOOKUP(I273:W273,GRADEPOINT!$A$2:$B$7,2,0)*$I$4:$W$4)</f>
        <v>63</v>
      </c>
      <c r="AQ272" s="73">
        <f t="shared" ref="AQ272" si="528">ROUND(AP272/AM273,2)</f>
        <v>2.74</v>
      </c>
      <c r="AR272" s="72"/>
    </row>
    <row r="273" spans="1:44" ht="15" thickBot="1" x14ac:dyDescent="0.35">
      <c r="A273" s="69"/>
      <c r="B273" s="71"/>
      <c r="C273" s="86"/>
      <c r="D273" s="87"/>
      <c r="E273" s="87"/>
      <c r="F273" s="87"/>
      <c r="G273" s="87"/>
      <c r="H273" s="88"/>
      <c r="I273" s="51" t="str" cm="1">
        <f t="array" ref="I273">_xlfn.IFS(I272&gt;= 70,"A",I272&gt;=60,"B",I272&gt;=50,"C",I272&gt;=45,"D",I272&gt;=40,"E",I272&lt;40,"F")</f>
        <v>C</v>
      </c>
      <c r="J273" s="51" t="str" cm="1">
        <f t="array" ref="J273">_xlfn.IFS(J272&gt;= 70,"A",J272&gt;=60,"B",J272&gt;=50,"C",J272&gt;=45,"D",J272&gt;=40,"E",J272&lt;40,"F")</f>
        <v>D</v>
      </c>
      <c r="K273" s="51" t="str" cm="1">
        <f t="array" ref="K273">_xlfn.IFS(K272&gt;= 70,"A",K272&gt;=60,"B",K272&gt;=50,"C",K272&gt;=45,"D",K272&gt;=40,"E",K272&lt;40,"F")</f>
        <v>D</v>
      </c>
      <c r="L273" s="50" t="str" cm="1">
        <f t="array" ref="L273">_xlfn.IFS(L272&gt;= 70,"A",L272&gt;=60,"B",L272&gt;=50,"C",L272&gt;=45,"D",L272&gt;=40,"E",L272&lt;40,"F")</f>
        <v>D</v>
      </c>
      <c r="M273" s="51" t="str" cm="1">
        <f t="array" ref="M273">_xlfn.IFS(M272&gt;= 70,"A",M272&gt;=60,"B",M272&gt;=50,"C",M272&gt;=45,"D",M272&gt;=40,"E",M272&lt;40,"F")</f>
        <v>D</v>
      </c>
      <c r="N273" s="51" t="str" cm="1">
        <f t="array" ref="N273">_xlfn.IFS(N272&gt;= 70,"A",N272&gt;=60,"B",N272&gt;=50,"C",N272&gt;=45,"D",N272&gt;=40,"E",N272&lt;40,"F")</f>
        <v>C</v>
      </c>
      <c r="O273" s="51" t="str" cm="1">
        <f t="array" ref="O273">_xlfn.IFS(O272&gt;= 70,"A",O272&gt;=60,"B",O272&gt;=50,"C",O272&gt;=45,"D",O272&gt;=40,"E",O272&lt;40,"F")</f>
        <v>C</v>
      </c>
      <c r="P273" s="51" t="str" cm="1">
        <f t="array" ref="P273">_xlfn.IFS(P272&gt;= 70,"A",P272&gt;=60,"B",P272&gt;=50,"C",P272&gt;=45,"D",P272&gt;=40,"E",P272&lt;40,"F")</f>
        <v>C</v>
      </c>
      <c r="Q273" s="51" t="str" cm="1">
        <f t="array" ref="Q273">_xlfn.IFS(Q272&gt;= 70,"A",Q272&gt;=60,"B",Q272&gt;=50,"C",Q272&gt;=45,"D",Q272&gt;=40,"E",Q272&lt;40,"F")</f>
        <v>C</v>
      </c>
      <c r="R273" s="51" t="str" cm="1">
        <f t="array" ref="R273">_xlfn.IFS(R272&gt;= 70,"A",R272&gt;=60,"B",R272&gt;=50,"C",R272&gt;=45,"D",R272&gt;=40,"E",R272&lt;40,"F")</f>
        <v>C</v>
      </c>
      <c r="S273" s="51" t="str" cm="1">
        <f t="array" ref="S273">_xlfn.IFS(S272&gt;= 70,"A",S272&gt;=60,"B",S272&gt;=50,"C",S272&gt;=45,"D",S272&gt;=40,"E",S272&lt;40,"F")</f>
        <v>C</v>
      </c>
      <c r="T273" s="51" t="str" cm="1">
        <f t="array" ref="T273">_xlfn.IFS(T272&gt;= 70,"A",T272&gt;=60,"B",T272&gt;=50,"C",T272&gt;=45,"D",T272&gt;=40,"E",T272&lt;40,"F")</f>
        <v>C</v>
      </c>
      <c r="U273" s="51" t="str" cm="1">
        <f t="array" ref="U273">_xlfn.IFS(U272&gt;= 70,"A",U272&gt;=60,"B",U272&gt;=50,"C",U272&gt;=45,"D",U272&gt;=40,"E",U272&lt;40,"F")</f>
        <v>C</v>
      </c>
      <c r="V273" s="51" t="str" cm="1">
        <f t="array" ref="V273">_xlfn.IFS(V272&gt;= 70,"A",V272&gt;=60,"B",V272&gt;=50,"C",V272&gt;=45,"D",V272&gt;=40,"E",V272&lt;40,"F")</f>
        <v>C</v>
      </c>
      <c r="W273" s="50" t="str" cm="1">
        <f t="array" ref="W273">_xlfn.IFS(W272&gt;= 70,"A",W272&gt;=60,"B",W272&gt;=50,"C",W272&gt;=45,"D",W272&gt;=40,"E",W272&lt;40,"F")</f>
        <v>C</v>
      </c>
      <c r="X273" s="7"/>
      <c r="Y273" s="7"/>
      <c r="Z273" s="7"/>
      <c r="AA273" s="7"/>
      <c r="AB273" s="7"/>
      <c r="AC273" s="7"/>
      <c r="AD273" s="7"/>
      <c r="AE273" s="7"/>
      <c r="AF273" s="7"/>
      <c r="AM273" s="56">
        <f t="shared" ref="AM273" si="529">SUMIFS($I$4:$W$4,I272:W272,"&gt;0")</f>
        <v>23</v>
      </c>
      <c r="AN273" s="47">
        <f t="shared" ref="AN273" si="530">(SUMIFS($I$4:$W$4,I272:W272,"&gt;0")-SUMIFS($I$4:$W$4,I273:W273,"F"))</f>
        <v>23</v>
      </c>
      <c r="AO273" s="56">
        <f t="shared" ref="AO273" si="531">SUMIFS($I$4:$W$4,I273:W273,"F")</f>
        <v>0</v>
      </c>
      <c r="AP273" s="76"/>
      <c r="AQ273" s="74"/>
      <c r="AR273" s="71"/>
    </row>
    <row r="274" spans="1:44" ht="15" thickTop="1" x14ac:dyDescent="0.3">
      <c r="A274" s="68">
        <v>135</v>
      </c>
      <c r="B274" s="70"/>
      <c r="C274" s="75"/>
      <c r="D274" s="84"/>
      <c r="E274" s="84"/>
      <c r="F274" s="84"/>
      <c r="G274" s="84"/>
      <c r="H274" s="85"/>
      <c r="I274" s="49">
        <v>56</v>
      </c>
      <c r="J274" s="49">
        <v>46</v>
      </c>
      <c r="K274" s="49">
        <v>47</v>
      </c>
      <c r="L274" s="49">
        <v>48</v>
      </c>
      <c r="M274" s="49">
        <v>49</v>
      </c>
      <c r="N274" s="49">
        <v>50</v>
      </c>
      <c r="O274" s="49">
        <v>51</v>
      </c>
      <c r="P274" s="49">
        <v>52</v>
      </c>
      <c r="Q274" s="49">
        <v>53</v>
      </c>
      <c r="R274" s="49">
        <v>54</v>
      </c>
      <c r="S274" s="49">
        <v>55</v>
      </c>
      <c r="T274" s="49">
        <v>56</v>
      </c>
      <c r="U274" s="49">
        <v>57</v>
      </c>
      <c r="V274" s="49">
        <v>58</v>
      </c>
      <c r="W274" s="49">
        <v>59</v>
      </c>
      <c r="X274" s="7"/>
      <c r="Y274" s="7"/>
      <c r="Z274" s="7"/>
      <c r="AA274" s="7"/>
      <c r="AB274" s="7"/>
      <c r="AC274" s="7"/>
      <c r="AD274" s="7"/>
      <c r="AE274" s="7"/>
      <c r="AF274" s="7"/>
      <c r="AM274" s="59"/>
      <c r="AN274" s="46"/>
      <c r="AO274" s="59"/>
      <c r="AP274" s="75" cm="1">
        <f t="array" ref="AP274">SUM(VLOOKUP(I275:W275,GRADEPOINT!$A$2:$B$7,2,0)*$I$4:$W$4)</f>
        <v>63</v>
      </c>
      <c r="AQ274" s="73">
        <f t="shared" ref="AQ274" si="532">ROUND(AP274/AM275,2)</f>
        <v>2.74</v>
      </c>
      <c r="AR274" s="72"/>
    </row>
    <row r="275" spans="1:44" ht="15" thickBot="1" x14ac:dyDescent="0.35">
      <c r="A275" s="69"/>
      <c r="B275" s="71"/>
      <c r="C275" s="86"/>
      <c r="D275" s="87"/>
      <c r="E275" s="87"/>
      <c r="F275" s="87"/>
      <c r="G275" s="87"/>
      <c r="H275" s="88"/>
      <c r="I275" s="51" t="str" cm="1">
        <f t="array" ref="I275">_xlfn.IFS(I274&gt;= 70,"A",I274&gt;=60,"B",I274&gt;=50,"C",I274&gt;=45,"D",I274&gt;=40,"E",I274&lt;40,"F")</f>
        <v>C</v>
      </c>
      <c r="J275" s="51" t="str" cm="1">
        <f t="array" ref="J275">_xlfn.IFS(J274&gt;= 70,"A",J274&gt;=60,"B",J274&gt;=50,"C",J274&gt;=45,"D",J274&gt;=40,"E",J274&lt;40,"F")</f>
        <v>D</v>
      </c>
      <c r="K275" s="51" t="str" cm="1">
        <f t="array" ref="K275">_xlfn.IFS(K274&gt;= 70,"A",K274&gt;=60,"B",K274&gt;=50,"C",K274&gt;=45,"D",K274&gt;=40,"E",K274&lt;40,"F")</f>
        <v>D</v>
      </c>
      <c r="L275" s="50" t="str" cm="1">
        <f t="array" ref="L275">_xlfn.IFS(L274&gt;= 70,"A",L274&gt;=60,"B",L274&gt;=50,"C",L274&gt;=45,"D",L274&gt;=40,"E",L274&lt;40,"F")</f>
        <v>D</v>
      </c>
      <c r="M275" s="51" t="str" cm="1">
        <f t="array" ref="M275">_xlfn.IFS(M274&gt;= 70,"A",M274&gt;=60,"B",M274&gt;=50,"C",M274&gt;=45,"D",M274&gt;=40,"E",M274&lt;40,"F")</f>
        <v>D</v>
      </c>
      <c r="N275" s="51" t="str" cm="1">
        <f t="array" ref="N275">_xlfn.IFS(N274&gt;= 70,"A",N274&gt;=60,"B",N274&gt;=50,"C",N274&gt;=45,"D",N274&gt;=40,"E",N274&lt;40,"F")</f>
        <v>C</v>
      </c>
      <c r="O275" s="51" t="str" cm="1">
        <f t="array" ref="O275">_xlfn.IFS(O274&gt;= 70,"A",O274&gt;=60,"B",O274&gt;=50,"C",O274&gt;=45,"D",O274&gt;=40,"E",O274&lt;40,"F")</f>
        <v>C</v>
      </c>
      <c r="P275" s="51" t="str" cm="1">
        <f t="array" ref="P275">_xlfn.IFS(P274&gt;= 70,"A",P274&gt;=60,"B",P274&gt;=50,"C",P274&gt;=45,"D",P274&gt;=40,"E",P274&lt;40,"F")</f>
        <v>C</v>
      </c>
      <c r="Q275" s="51" t="str" cm="1">
        <f t="array" ref="Q275">_xlfn.IFS(Q274&gt;= 70,"A",Q274&gt;=60,"B",Q274&gt;=50,"C",Q274&gt;=45,"D",Q274&gt;=40,"E",Q274&lt;40,"F")</f>
        <v>C</v>
      </c>
      <c r="R275" s="51" t="str" cm="1">
        <f t="array" ref="R275">_xlfn.IFS(R274&gt;= 70,"A",R274&gt;=60,"B",R274&gt;=50,"C",R274&gt;=45,"D",R274&gt;=40,"E",R274&lt;40,"F")</f>
        <v>C</v>
      </c>
      <c r="S275" s="51" t="str" cm="1">
        <f t="array" ref="S275">_xlfn.IFS(S274&gt;= 70,"A",S274&gt;=60,"B",S274&gt;=50,"C",S274&gt;=45,"D",S274&gt;=40,"E",S274&lt;40,"F")</f>
        <v>C</v>
      </c>
      <c r="T275" s="51" t="str" cm="1">
        <f t="array" ref="T275">_xlfn.IFS(T274&gt;= 70,"A",T274&gt;=60,"B",T274&gt;=50,"C",T274&gt;=45,"D",T274&gt;=40,"E",T274&lt;40,"F")</f>
        <v>C</v>
      </c>
      <c r="U275" s="51" t="str" cm="1">
        <f t="array" ref="U275">_xlfn.IFS(U274&gt;= 70,"A",U274&gt;=60,"B",U274&gt;=50,"C",U274&gt;=45,"D",U274&gt;=40,"E",U274&lt;40,"F")</f>
        <v>C</v>
      </c>
      <c r="V275" s="51" t="str" cm="1">
        <f t="array" ref="V275">_xlfn.IFS(V274&gt;= 70,"A",V274&gt;=60,"B",V274&gt;=50,"C",V274&gt;=45,"D",V274&gt;=40,"E",V274&lt;40,"F")</f>
        <v>C</v>
      </c>
      <c r="W275" s="50" t="str" cm="1">
        <f t="array" ref="W275">_xlfn.IFS(W274&gt;= 70,"A",W274&gt;=60,"B",W274&gt;=50,"C",W274&gt;=45,"D",W274&gt;=40,"E",W274&lt;40,"F")</f>
        <v>C</v>
      </c>
      <c r="X275" s="7"/>
      <c r="Y275" s="7"/>
      <c r="Z275" s="7"/>
      <c r="AA275" s="7"/>
      <c r="AB275" s="7"/>
      <c r="AC275" s="7"/>
      <c r="AD275" s="7"/>
      <c r="AE275" s="7"/>
      <c r="AF275" s="7"/>
      <c r="AM275" s="56">
        <f t="shared" ref="AM275" si="533">SUMIFS($I$4:$W$4,I274:W274,"&gt;0")</f>
        <v>23</v>
      </c>
      <c r="AN275" s="47">
        <f t="shared" ref="AN275" si="534">(SUMIFS($I$4:$W$4,I274:W274,"&gt;0")-SUMIFS($I$4:$W$4,I275:W275,"F"))</f>
        <v>23</v>
      </c>
      <c r="AO275" s="56">
        <f t="shared" ref="AO275" si="535">SUMIFS($I$4:$W$4,I275:W275,"F")</f>
        <v>0</v>
      </c>
      <c r="AP275" s="76"/>
      <c r="AQ275" s="74"/>
      <c r="AR275" s="71"/>
    </row>
    <row r="276" spans="1:44" ht="15" thickTop="1" x14ac:dyDescent="0.3">
      <c r="A276" s="68">
        <v>136</v>
      </c>
      <c r="B276" s="70"/>
      <c r="C276" s="75"/>
      <c r="D276" s="84"/>
      <c r="E276" s="84"/>
      <c r="F276" s="84"/>
      <c r="G276" s="84"/>
      <c r="H276" s="85"/>
      <c r="I276" s="49">
        <v>56</v>
      </c>
      <c r="J276" s="49">
        <v>46</v>
      </c>
      <c r="K276" s="49">
        <v>47</v>
      </c>
      <c r="L276" s="49">
        <v>48</v>
      </c>
      <c r="M276" s="49">
        <v>49</v>
      </c>
      <c r="N276" s="49">
        <v>50</v>
      </c>
      <c r="O276" s="49">
        <v>51</v>
      </c>
      <c r="P276" s="49">
        <v>52</v>
      </c>
      <c r="Q276" s="49">
        <v>53</v>
      </c>
      <c r="R276" s="49">
        <v>54</v>
      </c>
      <c r="S276" s="49">
        <v>55</v>
      </c>
      <c r="T276" s="49">
        <v>56</v>
      </c>
      <c r="U276" s="49">
        <v>57</v>
      </c>
      <c r="V276" s="49">
        <v>58</v>
      </c>
      <c r="W276" s="49">
        <v>59</v>
      </c>
      <c r="X276" s="7"/>
      <c r="Y276" s="7"/>
      <c r="Z276" s="7"/>
      <c r="AA276" s="7"/>
      <c r="AB276" s="7"/>
      <c r="AC276" s="7"/>
      <c r="AD276" s="7"/>
      <c r="AE276" s="7"/>
      <c r="AF276" s="7"/>
      <c r="AM276" s="59"/>
      <c r="AN276" s="46"/>
      <c r="AO276" s="59"/>
      <c r="AP276" s="75" cm="1">
        <f t="array" ref="AP276">SUM(VLOOKUP(I277:W277,GRADEPOINT!$A$2:$B$7,2,0)*$I$4:$W$4)</f>
        <v>63</v>
      </c>
      <c r="AQ276" s="73">
        <f t="shared" ref="AQ276" si="536">ROUND(AP276/AM277,2)</f>
        <v>2.74</v>
      </c>
      <c r="AR276" s="72"/>
    </row>
    <row r="277" spans="1:44" ht="15" thickBot="1" x14ac:dyDescent="0.35">
      <c r="A277" s="69"/>
      <c r="B277" s="71"/>
      <c r="C277" s="86"/>
      <c r="D277" s="87"/>
      <c r="E277" s="87"/>
      <c r="F277" s="87"/>
      <c r="G277" s="87"/>
      <c r="H277" s="88"/>
      <c r="I277" s="51" t="str" cm="1">
        <f t="array" ref="I277">_xlfn.IFS(I276&gt;= 70,"A",I276&gt;=60,"B",I276&gt;=50,"C",I276&gt;=45,"D",I276&gt;=40,"E",I276&lt;40,"F")</f>
        <v>C</v>
      </c>
      <c r="J277" s="51" t="str" cm="1">
        <f t="array" ref="J277">_xlfn.IFS(J276&gt;= 70,"A",J276&gt;=60,"B",J276&gt;=50,"C",J276&gt;=45,"D",J276&gt;=40,"E",J276&lt;40,"F")</f>
        <v>D</v>
      </c>
      <c r="K277" s="51" t="str" cm="1">
        <f t="array" ref="K277">_xlfn.IFS(K276&gt;= 70,"A",K276&gt;=60,"B",K276&gt;=50,"C",K276&gt;=45,"D",K276&gt;=40,"E",K276&lt;40,"F")</f>
        <v>D</v>
      </c>
      <c r="L277" s="50" t="str" cm="1">
        <f t="array" ref="L277">_xlfn.IFS(L276&gt;= 70,"A",L276&gt;=60,"B",L276&gt;=50,"C",L276&gt;=45,"D",L276&gt;=40,"E",L276&lt;40,"F")</f>
        <v>D</v>
      </c>
      <c r="M277" s="51" t="str" cm="1">
        <f t="array" ref="M277">_xlfn.IFS(M276&gt;= 70,"A",M276&gt;=60,"B",M276&gt;=50,"C",M276&gt;=45,"D",M276&gt;=40,"E",M276&lt;40,"F")</f>
        <v>D</v>
      </c>
      <c r="N277" s="51" t="str" cm="1">
        <f t="array" ref="N277">_xlfn.IFS(N276&gt;= 70,"A",N276&gt;=60,"B",N276&gt;=50,"C",N276&gt;=45,"D",N276&gt;=40,"E",N276&lt;40,"F")</f>
        <v>C</v>
      </c>
      <c r="O277" s="51" t="str" cm="1">
        <f t="array" ref="O277">_xlfn.IFS(O276&gt;= 70,"A",O276&gt;=60,"B",O276&gt;=50,"C",O276&gt;=45,"D",O276&gt;=40,"E",O276&lt;40,"F")</f>
        <v>C</v>
      </c>
      <c r="P277" s="51" t="str" cm="1">
        <f t="array" ref="P277">_xlfn.IFS(P276&gt;= 70,"A",P276&gt;=60,"B",P276&gt;=50,"C",P276&gt;=45,"D",P276&gt;=40,"E",P276&lt;40,"F")</f>
        <v>C</v>
      </c>
      <c r="Q277" s="51" t="str" cm="1">
        <f t="array" ref="Q277">_xlfn.IFS(Q276&gt;= 70,"A",Q276&gt;=60,"B",Q276&gt;=50,"C",Q276&gt;=45,"D",Q276&gt;=40,"E",Q276&lt;40,"F")</f>
        <v>C</v>
      </c>
      <c r="R277" s="51" t="str" cm="1">
        <f t="array" ref="R277">_xlfn.IFS(R276&gt;= 70,"A",R276&gt;=60,"B",R276&gt;=50,"C",R276&gt;=45,"D",R276&gt;=40,"E",R276&lt;40,"F")</f>
        <v>C</v>
      </c>
      <c r="S277" s="51" t="str" cm="1">
        <f t="array" ref="S277">_xlfn.IFS(S276&gt;= 70,"A",S276&gt;=60,"B",S276&gt;=50,"C",S276&gt;=45,"D",S276&gt;=40,"E",S276&lt;40,"F")</f>
        <v>C</v>
      </c>
      <c r="T277" s="51" t="str" cm="1">
        <f t="array" ref="T277">_xlfn.IFS(T276&gt;= 70,"A",T276&gt;=60,"B",T276&gt;=50,"C",T276&gt;=45,"D",T276&gt;=40,"E",T276&lt;40,"F")</f>
        <v>C</v>
      </c>
      <c r="U277" s="51" t="str" cm="1">
        <f t="array" ref="U277">_xlfn.IFS(U276&gt;= 70,"A",U276&gt;=60,"B",U276&gt;=50,"C",U276&gt;=45,"D",U276&gt;=40,"E",U276&lt;40,"F")</f>
        <v>C</v>
      </c>
      <c r="V277" s="51" t="str" cm="1">
        <f t="array" ref="V277">_xlfn.IFS(V276&gt;= 70,"A",V276&gt;=60,"B",V276&gt;=50,"C",V276&gt;=45,"D",V276&gt;=40,"E",V276&lt;40,"F")</f>
        <v>C</v>
      </c>
      <c r="W277" s="50" t="str" cm="1">
        <f t="array" ref="W277">_xlfn.IFS(W276&gt;= 70,"A",W276&gt;=60,"B",W276&gt;=50,"C",W276&gt;=45,"D",W276&gt;=40,"E",W276&lt;40,"F")</f>
        <v>C</v>
      </c>
      <c r="X277" s="7"/>
      <c r="Y277" s="7"/>
      <c r="Z277" s="7"/>
      <c r="AA277" s="7"/>
      <c r="AB277" s="7"/>
      <c r="AC277" s="7"/>
      <c r="AD277" s="7"/>
      <c r="AE277" s="7"/>
      <c r="AF277" s="7"/>
      <c r="AM277" s="56">
        <f t="shared" ref="AM277" si="537">SUMIFS($I$4:$W$4,I276:W276,"&gt;0")</f>
        <v>23</v>
      </c>
      <c r="AN277" s="47">
        <f t="shared" ref="AN277" si="538">(SUMIFS($I$4:$W$4,I276:W276,"&gt;0")-SUMIFS($I$4:$W$4,I277:W277,"F"))</f>
        <v>23</v>
      </c>
      <c r="AO277" s="56">
        <f t="shared" ref="AO277" si="539">SUMIFS($I$4:$W$4,I277:W277,"F")</f>
        <v>0</v>
      </c>
      <c r="AP277" s="76"/>
      <c r="AQ277" s="74"/>
      <c r="AR277" s="71"/>
    </row>
    <row r="278" spans="1:44" ht="15" thickTop="1" x14ac:dyDescent="0.3">
      <c r="A278" s="68">
        <v>137</v>
      </c>
      <c r="B278" s="70"/>
      <c r="C278" s="75"/>
      <c r="D278" s="84"/>
      <c r="E278" s="84"/>
      <c r="F278" s="84"/>
      <c r="G278" s="84"/>
      <c r="H278" s="85"/>
      <c r="I278" s="49">
        <v>56</v>
      </c>
      <c r="J278" s="49">
        <v>46</v>
      </c>
      <c r="K278" s="49">
        <v>47</v>
      </c>
      <c r="L278" s="49">
        <v>48</v>
      </c>
      <c r="M278" s="49">
        <v>49</v>
      </c>
      <c r="N278" s="49">
        <v>50</v>
      </c>
      <c r="O278" s="49">
        <v>51</v>
      </c>
      <c r="P278" s="49">
        <v>52</v>
      </c>
      <c r="Q278" s="49">
        <v>53</v>
      </c>
      <c r="R278" s="49">
        <v>54</v>
      </c>
      <c r="S278" s="49">
        <v>55</v>
      </c>
      <c r="T278" s="49">
        <v>56</v>
      </c>
      <c r="U278" s="49">
        <v>57</v>
      </c>
      <c r="V278" s="49">
        <v>58</v>
      </c>
      <c r="W278" s="49">
        <v>59</v>
      </c>
      <c r="X278" s="7"/>
      <c r="Y278" s="7"/>
      <c r="Z278" s="7"/>
      <c r="AA278" s="7"/>
      <c r="AB278" s="7"/>
      <c r="AC278" s="7"/>
      <c r="AD278" s="7"/>
      <c r="AE278" s="7"/>
      <c r="AF278" s="7"/>
      <c r="AM278" s="59"/>
      <c r="AN278" s="46"/>
      <c r="AO278" s="59"/>
      <c r="AP278" s="75" cm="1">
        <f t="array" ref="AP278">SUM(VLOOKUP(I279:W279,GRADEPOINT!$A$2:$B$7,2,0)*$I$4:$W$4)</f>
        <v>63</v>
      </c>
      <c r="AQ278" s="73">
        <f t="shared" ref="AQ278" si="540">ROUND(AP278/AM279,2)</f>
        <v>2.74</v>
      </c>
      <c r="AR278" s="72"/>
    </row>
    <row r="279" spans="1:44" ht="15" thickBot="1" x14ac:dyDescent="0.35">
      <c r="A279" s="69"/>
      <c r="B279" s="71"/>
      <c r="C279" s="86"/>
      <c r="D279" s="87"/>
      <c r="E279" s="87"/>
      <c r="F279" s="87"/>
      <c r="G279" s="87"/>
      <c r="H279" s="88"/>
      <c r="I279" s="51" t="str" cm="1">
        <f t="array" ref="I279">_xlfn.IFS(I278&gt;= 70,"A",I278&gt;=60,"B",I278&gt;=50,"C",I278&gt;=45,"D",I278&gt;=40,"E",I278&lt;40,"F")</f>
        <v>C</v>
      </c>
      <c r="J279" s="51" t="str" cm="1">
        <f t="array" ref="J279">_xlfn.IFS(J278&gt;= 70,"A",J278&gt;=60,"B",J278&gt;=50,"C",J278&gt;=45,"D",J278&gt;=40,"E",J278&lt;40,"F")</f>
        <v>D</v>
      </c>
      <c r="K279" s="51" t="str" cm="1">
        <f t="array" ref="K279">_xlfn.IFS(K278&gt;= 70,"A",K278&gt;=60,"B",K278&gt;=50,"C",K278&gt;=45,"D",K278&gt;=40,"E",K278&lt;40,"F")</f>
        <v>D</v>
      </c>
      <c r="L279" s="50" t="str" cm="1">
        <f t="array" ref="L279">_xlfn.IFS(L278&gt;= 70,"A",L278&gt;=60,"B",L278&gt;=50,"C",L278&gt;=45,"D",L278&gt;=40,"E",L278&lt;40,"F")</f>
        <v>D</v>
      </c>
      <c r="M279" s="51" t="str" cm="1">
        <f t="array" ref="M279">_xlfn.IFS(M278&gt;= 70,"A",M278&gt;=60,"B",M278&gt;=50,"C",M278&gt;=45,"D",M278&gt;=40,"E",M278&lt;40,"F")</f>
        <v>D</v>
      </c>
      <c r="N279" s="51" t="str" cm="1">
        <f t="array" ref="N279">_xlfn.IFS(N278&gt;= 70,"A",N278&gt;=60,"B",N278&gt;=50,"C",N278&gt;=45,"D",N278&gt;=40,"E",N278&lt;40,"F")</f>
        <v>C</v>
      </c>
      <c r="O279" s="51" t="str" cm="1">
        <f t="array" ref="O279">_xlfn.IFS(O278&gt;= 70,"A",O278&gt;=60,"B",O278&gt;=50,"C",O278&gt;=45,"D",O278&gt;=40,"E",O278&lt;40,"F")</f>
        <v>C</v>
      </c>
      <c r="P279" s="51" t="str" cm="1">
        <f t="array" ref="P279">_xlfn.IFS(P278&gt;= 70,"A",P278&gt;=60,"B",P278&gt;=50,"C",P278&gt;=45,"D",P278&gt;=40,"E",P278&lt;40,"F")</f>
        <v>C</v>
      </c>
      <c r="Q279" s="51" t="str" cm="1">
        <f t="array" ref="Q279">_xlfn.IFS(Q278&gt;= 70,"A",Q278&gt;=60,"B",Q278&gt;=50,"C",Q278&gt;=45,"D",Q278&gt;=40,"E",Q278&lt;40,"F")</f>
        <v>C</v>
      </c>
      <c r="R279" s="51" t="str" cm="1">
        <f t="array" ref="R279">_xlfn.IFS(R278&gt;= 70,"A",R278&gt;=60,"B",R278&gt;=50,"C",R278&gt;=45,"D",R278&gt;=40,"E",R278&lt;40,"F")</f>
        <v>C</v>
      </c>
      <c r="S279" s="51" t="str" cm="1">
        <f t="array" ref="S279">_xlfn.IFS(S278&gt;= 70,"A",S278&gt;=60,"B",S278&gt;=50,"C",S278&gt;=45,"D",S278&gt;=40,"E",S278&lt;40,"F")</f>
        <v>C</v>
      </c>
      <c r="T279" s="51" t="str" cm="1">
        <f t="array" ref="T279">_xlfn.IFS(T278&gt;= 70,"A",T278&gt;=60,"B",T278&gt;=50,"C",T278&gt;=45,"D",T278&gt;=40,"E",T278&lt;40,"F")</f>
        <v>C</v>
      </c>
      <c r="U279" s="51" t="str" cm="1">
        <f t="array" ref="U279">_xlfn.IFS(U278&gt;= 70,"A",U278&gt;=60,"B",U278&gt;=50,"C",U278&gt;=45,"D",U278&gt;=40,"E",U278&lt;40,"F")</f>
        <v>C</v>
      </c>
      <c r="V279" s="51" t="str" cm="1">
        <f t="array" ref="V279">_xlfn.IFS(V278&gt;= 70,"A",V278&gt;=60,"B",V278&gt;=50,"C",V278&gt;=45,"D",V278&gt;=40,"E",V278&lt;40,"F")</f>
        <v>C</v>
      </c>
      <c r="W279" s="50" t="str" cm="1">
        <f t="array" ref="W279">_xlfn.IFS(W278&gt;= 70,"A",W278&gt;=60,"B",W278&gt;=50,"C",W278&gt;=45,"D",W278&gt;=40,"E",W278&lt;40,"F")</f>
        <v>C</v>
      </c>
      <c r="X279" s="7"/>
      <c r="Y279" s="7"/>
      <c r="Z279" s="7"/>
      <c r="AA279" s="7"/>
      <c r="AB279" s="7"/>
      <c r="AC279" s="7"/>
      <c r="AD279" s="7"/>
      <c r="AE279" s="7"/>
      <c r="AF279" s="7"/>
      <c r="AM279" s="56">
        <f t="shared" ref="AM279" si="541">SUMIFS($I$4:$W$4,I278:W278,"&gt;0")</f>
        <v>23</v>
      </c>
      <c r="AN279" s="47">
        <f t="shared" ref="AN279" si="542">(SUMIFS($I$4:$W$4,I278:W278,"&gt;0")-SUMIFS($I$4:$W$4,I279:W279,"F"))</f>
        <v>23</v>
      </c>
      <c r="AO279" s="56">
        <f t="shared" ref="AO279" si="543">SUMIFS($I$4:$W$4,I279:W279,"F")</f>
        <v>0</v>
      </c>
      <c r="AP279" s="76"/>
      <c r="AQ279" s="74"/>
      <c r="AR279" s="71"/>
    </row>
    <row r="280" spans="1:44" ht="15" thickTop="1" x14ac:dyDescent="0.3">
      <c r="A280" s="68">
        <v>138</v>
      </c>
      <c r="B280" s="70"/>
      <c r="C280" s="75"/>
      <c r="D280" s="84"/>
      <c r="E280" s="84"/>
      <c r="F280" s="84"/>
      <c r="G280" s="84"/>
      <c r="H280" s="85"/>
      <c r="I280" s="49">
        <v>56</v>
      </c>
      <c r="J280" s="49">
        <v>46</v>
      </c>
      <c r="K280" s="49">
        <v>47</v>
      </c>
      <c r="L280" s="49">
        <v>48</v>
      </c>
      <c r="M280" s="49">
        <v>49</v>
      </c>
      <c r="N280" s="49">
        <v>50</v>
      </c>
      <c r="O280" s="49">
        <v>51</v>
      </c>
      <c r="P280" s="49">
        <v>52</v>
      </c>
      <c r="Q280" s="49">
        <v>53</v>
      </c>
      <c r="R280" s="49">
        <v>54</v>
      </c>
      <c r="S280" s="49">
        <v>55</v>
      </c>
      <c r="T280" s="49">
        <v>56</v>
      </c>
      <c r="U280" s="49">
        <v>57</v>
      </c>
      <c r="V280" s="49">
        <v>58</v>
      </c>
      <c r="W280" s="49">
        <v>59</v>
      </c>
      <c r="X280" s="7"/>
      <c r="Y280" s="7"/>
      <c r="Z280" s="7"/>
      <c r="AA280" s="7"/>
      <c r="AB280" s="7"/>
      <c r="AC280" s="7"/>
      <c r="AD280" s="7"/>
      <c r="AE280" s="7"/>
      <c r="AF280" s="7"/>
      <c r="AM280" s="59"/>
      <c r="AN280" s="46"/>
      <c r="AO280" s="59"/>
      <c r="AP280" s="75" cm="1">
        <f t="array" ref="AP280">SUM(VLOOKUP(I281:W281,GRADEPOINT!$A$2:$B$7,2,0)*$I$4:$W$4)</f>
        <v>63</v>
      </c>
      <c r="AQ280" s="73">
        <f t="shared" ref="AQ280" si="544">ROUND(AP280/AM281,2)</f>
        <v>2.74</v>
      </c>
      <c r="AR280" s="72"/>
    </row>
    <row r="281" spans="1:44" ht="15" thickBot="1" x14ac:dyDescent="0.35">
      <c r="A281" s="69"/>
      <c r="B281" s="71"/>
      <c r="C281" s="86"/>
      <c r="D281" s="87"/>
      <c r="E281" s="87"/>
      <c r="F281" s="87"/>
      <c r="G281" s="87"/>
      <c r="H281" s="88"/>
      <c r="I281" s="51" t="str" cm="1">
        <f t="array" ref="I281">_xlfn.IFS(I280&gt;= 70,"A",I280&gt;=60,"B",I280&gt;=50,"C",I280&gt;=45,"D",I280&gt;=40,"E",I280&lt;40,"F")</f>
        <v>C</v>
      </c>
      <c r="J281" s="51" t="str" cm="1">
        <f t="array" ref="J281">_xlfn.IFS(J280&gt;= 70,"A",J280&gt;=60,"B",J280&gt;=50,"C",J280&gt;=45,"D",J280&gt;=40,"E",J280&lt;40,"F")</f>
        <v>D</v>
      </c>
      <c r="K281" s="51" t="str" cm="1">
        <f t="array" ref="K281">_xlfn.IFS(K280&gt;= 70,"A",K280&gt;=60,"B",K280&gt;=50,"C",K280&gt;=45,"D",K280&gt;=40,"E",K280&lt;40,"F")</f>
        <v>D</v>
      </c>
      <c r="L281" s="50" t="str" cm="1">
        <f t="array" ref="L281">_xlfn.IFS(L280&gt;= 70,"A",L280&gt;=60,"B",L280&gt;=50,"C",L280&gt;=45,"D",L280&gt;=40,"E",L280&lt;40,"F")</f>
        <v>D</v>
      </c>
      <c r="M281" s="51" t="str" cm="1">
        <f t="array" ref="M281">_xlfn.IFS(M280&gt;= 70,"A",M280&gt;=60,"B",M280&gt;=50,"C",M280&gt;=45,"D",M280&gt;=40,"E",M280&lt;40,"F")</f>
        <v>D</v>
      </c>
      <c r="N281" s="51" t="str" cm="1">
        <f t="array" ref="N281">_xlfn.IFS(N280&gt;= 70,"A",N280&gt;=60,"B",N280&gt;=50,"C",N280&gt;=45,"D",N280&gt;=40,"E",N280&lt;40,"F")</f>
        <v>C</v>
      </c>
      <c r="O281" s="51" t="str" cm="1">
        <f t="array" ref="O281">_xlfn.IFS(O280&gt;= 70,"A",O280&gt;=60,"B",O280&gt;=50,"C",O280&gt;=45,"D",O280&gt;=40,"E",O280&lt;40,"F")</f>
        <v>C</v>
      </c>
      <c r="P281" s="51" t="str" cm="1">
        <f t="array" ref="P281">_xlfn.IFS(P280&gt;= 70,"A",P280&gt;=60,"B",P280&gt;=50,"C",P280&gt;=45,"D",P280&gt;=40,"E",P280&lt;40,"F")</f>
        <v>C</v>
      </c>
      <c r="Q281" s="51" t="str" cm="1">
        <f t="array" ref="Q281">_xlfn.IFS(Q280&gt;= 70,"A",Q280&gt;=60,"B",Q280&gt;=50,"C",Q280&gt;=45,"D",Q280&gt;=40,"E",Q280&lt;40,"F")</f>
        <v>C</v>
      </c>
      <c r="R281" s="51" t="str" cm="1">
        <f t="array" ref="R281">_xlfn.IFS(R280&gt;= 70,"A",R280&gt;=60,"B",R280&gt;=50,"C",R280&gt;=45,"D",R280&gt;=40,"E",R280&lt;40,"F")</f>
        <v>C</v>
      </c>
      <c r="S281" s="51" t="str" cm="1">
        <f t="array" ref="S281">_xlfn.IFS(S280&gt;= 70,"A",S280&gt;=60,"B",S280&gt;=50,"C",S280&gt;=45,"D",S280&gt;=40,"E",S280&lt;40,"F")</f>
        <v>C</v>
      </c>
      <c r="T281" s="51" t="str" cm="1">
        <f t="array" ref="T281">_xlfn.IFS(T280&gt;= 70,"A",T280&gt;=60,"B",T280&gt;=50,"C",T280&gt;=45,"D",T280&gt;=40,"E",T280&lt;40,"F")</f>
        <v>C</v>
      </c>
      <c r="U281" s="51" t="str" cm="1">
        <f t="array" ref="U281">_xlfn.IFS(U280&gt;= 70,"A",U280&gt;=60,"B",U280&gt;=50,"C",U280&gt;=45,"D",U280&gt;=40,"E",U280&lt;40,"F")</f>
        <v>C</v>
      </c>
      <c r="V281" s="51" t="str" cm="1">
        <f t="array" ref="V281">_xlfn.IFS(V280&gt;= 70,"A",V280&gt;=60,"B",V280&gt;=50,"C",V280&gt;=45,"D",V280&gt;=40,"E",V280&lt;40,"F")</f>
        <v>C</v>
      </c>
      <c r="W281" s="50" t="str" cm="1">
        <f t="array" ref="W281">_xlfn.IFS(W280&gt;= 70,"A",W280&gt;=60,"B",W280&gt;=50,"C",W280&gt;=45,"D",W280&gt;=40,"E",W280&lt;40,"F")</f>
        <v>C</v>
      </c>
      <c r="X281" s="7"/>
      <c r="Y281" s="7"/>
      <c r="Z281" s="7"/>
      <c r="AA281" s="7"/>
      <c r="AB281" s="7"/>
      <c r="AC281" s="7"/>
      <c r="AD281" s="7"/>
      <c r="AE281" s="7"/>
      <c r="AF281" s="7"/>
      <c r="AM281" s="56">
        <f t="shared" ref="AM281" si="545">SUMIFS($I$4:$W$4,I280:W280,"&gt;0")</f>
        <v>23</v>
      </c>
      <c r="AN281" s="47">
        <f t="shared" ref="AN281" si="546">(SUMIFS($I$4:$W$4,I280:W280,"&gt;0")-SUMIFS($I$4:$W$4,I281:W281,"F"))</f>
        <v>23</v>
      </c>
      <c r="AO281" s="56">
        <f t="shared" ref="AO281" si="547">SUMIFS($I$4:$W$4,I281:W281,"F")</f>
        <v>0</v>
      </c>
      <c r="AP281" s="76"/>
      <c r="AQ281" s="74"/>
      <c r="AR281" s="71"/>
    </row>
    <row r="282" spans="1:44" ht="15" thickTop="1" x14ac:dyDescent="0.3">
      <c r="A282" s="68">
        <v>139</v>
      </c>
      <c r="B282" s="70"/>
      <c r="C282" s="75"/>
      <c r="D282" s="84"/>
      <c r="E282" s="84"/>
      <c r="F282" s="84"/>
      <c r="G282" s="84"/>
      <c r="H282" s="85"/>
      <c r="I282" s="49">
        <v>56</v>
      </c>
      <c r="J282" s="49">
        <v>46</v>
      </c>
      <c r="K282" s="49">
        <v>47</v>
      </c>
      <c r="L282" s="49">
        <v>48</v>
      </c>
      <c r="M282" s="49">
        <v>49</v>
      </c>
      <c r="N282" s="49">
        <v>50</v>
      </c>
      <c r="O282" s="49">
        <v>51</v>
      </c>
      <c r="P282" s="49">
        <v>52</v>
      </c>
      <c r="Q282" s="49">
        <v>53</v>
      </c>
      <c r="R282" s="49">
        <v>54</v>
      </c>
      <c r="S282" s="49">
        <v>55</v>
      </c>
      <c r="T282" s="49">
        <v>56</v>
      </c>
      <c r="U282" s="49">
        <v>57</v>
      </c>
      <c r="V282" s="49">
        <v>58</v>
      </c>
      <c r="W282" s="49">
        <v>59</v>
      </c>
      <c r="X282" s="7"/>
      <c r="Y282" s="7"/>
      <c r="Z282" s="7"/>
      <c r="AA282" s="7"/>
      <c r="AB282" s="7"/>
      <c r="AC282" s="7"/>
      <c r="AD282" s="7"/>
      <c r="AE282" s="7"/>
      <c r="AF282" s="7"/>
      <c r="AM282" s="59"/>
      <c r="AN282" s="46"/>
      <c r="AO282" s="59"/>
      <c r="AP282" s="75" cm="1">
        <f t="array" ref="AP282">SUM(VLOOKUP(I283:W283,GRADEPOINT!$A$2:$B$7,2,0)*$I$4:$W$4)</f>
        <v>63</v>
      </c>
      <c r="AQ282" s="73">
        <f t="shared" ref="AQ282" si="548">ROUND(AP282/AM283,2)</f>
        <v>2.74</v>
      </c>
      <c r="AR282" s="72"/>
    </row>
    <row r="283" spans="1:44" ht="15" thickBot="1" x14ac:dyDescent="0.35">
      <c r="A283" s="69"/>
      <c r="B283" s="71"/>
      <c r="C283" s="86"/>
      <c r="D283" s="87"/>
      <c r="E283" s="87"/>
      <c r="F283" s="87"/>
      <c r="G283" s="87"/>
      <c r="H283" s="88"/>
      <c r="I283" s="51" t="str" cm="1">
        <f t="array" ref="I283">_xlfn.IFS(I282&gt;= 70,"A",I282&gt;=60,"B",I282&gt;=50,"C",I282&gt;=45,"D",I282&gt;=40,"E",I282&lt;40,"F")</f>
        <v>C</v>
      </c>
      <c r="J283" s="51" t="str" cm="1">
        <f t="array" ref="J283">_xlfn.IFS(J282&gt;= 70,"A",J282&gt;=60,"B",J282&gt;=50,"C",J282&gt;=45,"D",J282&gt;=40,"E",J282&lt;40,"F")</f>
        <v>D</v>
      </c>
      <c r="K283" s="51" t="str" cm="1">
        <f t="array" ref="K283">_xlfn.IFS(K282&gt;= 70,"A",K282&gt;=60,"B",K282&gt;=50,"C",K282&gt;=45,"D",K282&gt;=40,"E",K282&lt;40,"F")</f>
        <v>D</v>
      </c>
      <c r="L283" s="50" t="str" cm="1">
        <f t="array" ref="L283">_xlfn.IFS(L282&gt;= 70,"A",L282&gt;=60,"B",L282&gt;=50,"C",L282&gt;=45,"D",L282&gt;=40,"E",L282&lt;40,"F")</f>
        <v>D</v>
      </c>
      <c r="M283" s="51" t="str" cm="1">
        <f t="array" ref="M283">_xlfn.IFS(M282&gt;= 70,"A",M282&gt;=60,"B",M282&gt;=50,"C",M282&gt;=45,"D",M282&gt;=40,"E",M282&lt;40,"F")</f>
        <v>D</v>
      </c>
      <c r="N283" s="51" t="str" cm="1">
        <f t="array" ref="N283">_xlfn.IFS(N282&gt;= 70,"A",N282&gt;=60,"B",N282&gt;=50,"C",N282&gt;=45,"D",N282&gt;=40,"E",N282&lt;40,"F")</f>
        <v>C</v>
      </c>
      <c r="O283" s="51" t="str" cm="1">
        <f t="array" ref="O283">_xlfn.IFS(O282&gt;= 70,"A",O282&gt;=60,"B",O282&gt;=50,"C",O282&gt;=45,"D",O282&gt;=40,"E",O282&lt;40,"F")</f>
        <v>C</v>
      </c>
      <c r="P283" s="51" t="str" cm="1">
        <f t="array" ref="P283">_xlfn.IFS(P282&gt;= 70,"A",P282&gt;=60,"B",P282&gt;=50,"C",P282&gt;=45,"D",P282&gt;=40,"E",P282&lt;40,"F")</f>
        <v>C</v>
      </c>
      <c r="Q283" s="51" t="str" cm="1">
        <f t="array" ref="Q283">_xlfn.IFS(Q282&gt;= 70,"A",Q282&gt;=60,"B",Q282&gt;=50,"C",Q282&gt;=45,"D",Q282&gt;=40,"E",Q282&lt;40,"F")</f>
        <v>C</v>
      </c>
      <c r="R283" s="51" t="str" cm="1">
        <f t="array" ref="R283">_xlfn.IFS(R282&gt;= 70,"A",R282&gt;=60,"B",R282&gt;=50,"C",R282&gt;=45,"D",R282&gt;=40,"E",R282&lt;40,"F")</f>
        <v>C</v>
      </c>
      <c r="S283" s="51" t="str" cm="1">
        <f t="array" ref="S283">_xlfn.IFS(S282&gt;= 70,"A",S282&gt;=60,"B",S282&gt;=50,"C",S282&gt;=45,"D",S282&gt;=40,"E",S282&lt;40,"F")</f>
        <v>C</v>
      </c>
      <c r="T283" s="51" t="str" cm="1">
        <f t="array" ref="T283">_xlfn.IFS(T282&gt;= 70,"A",T282&gt;=60,"B",T282&gt;=50,"C",T282&gt;=45,"D",T282&gt;=40,"E",T282&lt;40,"F")</f>
        <v>C</v>
      </c>
      <c r="U283" s="51" t="str" cm="1">
        <f t="array" ref="U283">_xlfn.IFS(U282&gt;= 70,"A",U282&gt;=60,"B",U282&gt;=50,"C",U282&gt;=45,"D",U282&gt;=40,"E",U282&lt;40,"F")</f>
        <v>C</v>
      </c>
      <c r="V283" s="51" t="str" cm="1">
        <f t="array" ref="V283">_xlfn.IFS(V282&gt;= 70,"A",V282&gt;=60,"B",V282&gt;=50,"C",V282&gt;=45,"D",V282&gt;=40,"E",V282&lt;40,"F")</f>
        <v>C</v>
      </c>
      <c r="W283" s="50" t="str" cm="1">
        <f t="array" ref="W283">_xlfn.IFS(W282&gt;= 70,"A",W282&gt;=60,"B",W282&gt;=50,"C",W282&gt;=45,"D",W282&gt;=40,"E",W282&lt;40,"F")</f>
        <v>C</v>
      </c>
      <c r="X283" s="7"/>
      <c r="Y283" s="7"/>
      <c r="Z283" s="7"/>
      <c r="AA283" s="7"/>
      <c r="AB283" s="7"/>
      <c r="AC283" s="7"/>
      <c r="AD283" s="7"/>
      <c r="AE283" s="7"/>
      <c r="AF283" s="7"/>
      <c r="AM283" s="56">
        <f t="shared" ref="AM283" si="549">SUMIFS($I$4:$W$4,I282:W282,"&gt;0")</f>
        <v>23</v>
      </c>
      <c r="AN283" s="47">
        <f t="shared" ref="AN283" si="550">(SUMIFS($I$4:$W$4,I282:W282,"&gt;0")-SUMIFS($I$4:$W$4,I283:W283,"F"))</f>
        <v>23</v>
      </c>
      <c r="AO283" s="56">
        <f t="shared" ref="AO283" si="551">SUMIFS($I$4:$W$4,I283:W283,"F")</f>
        <v>0</v>
      </c>
      <c r="AP283" s="76"/>
      <c r="AQ283" s="74"/>
      <c r="AR283" s="71"/>
    </row>
    <row r="284" spans="1:44" ht="15" thickTop="1" x14ac:dyDescent="0.3">
      <c r="A284" s="68">
        <v>140</v>
      </c>
      <c r="B284" s="70"/>
      <c r="C284" s="75"/>
      <c r="D284" s="84"/>
      <c r="E284" s="84"/>
      <c r="F284" s="84"/>
      <c r="G284" s="84"/>
      <c r="H284" s="85"/>
      <c r="I284" s="49">
        <v>56</v>
      </c>
      <c r="J284" s="49">
        <v>46</v>
      </c>
      <c r="K284" s="49">
        <v>47</v>
      </c>
      <c r="L284" s="49">
        <v>48</v>
      </c>
      <c r="M284" s="49">
        <v>49</v>
      </c>
      <c r="N284" s="49">
        <v>50</v>
      </c>
      <c r="O284" s="49">
        <v>51</v>
      </c>
      <c r="P284" s="49">
        <v>52</v>
      </c>
      <c r="Q284" s="49">
        <v>53</v>
      </c>
      <c r="R284" s="49">
        <v>54</v>
      </c>
      <c r="S284" s="49">
        <v>55</v>
      </c>
      <c r="T284" s="49">
        <v>56</v>
      </c>
      <c r="U284" s="49">
        <v>57</v>
      </c>
      <c r="V284" s="49">
        <v>58</v>
      </c>
      <c r="W284" s="49">
        <v>59</v>
      </c>
      <c r="X284" s="7"/>
      <c r="Y284" s="7"/>
      <c r="Z284" s="7"/>
      <c r="AA284" s="7"/>
      <c r="AB284" s="7"/>
      <c r="AC284" s="7"/>
      <c r="AD284" s="7"/>
      <c r="AE284" s="7"/>
      <c r="AF284" s="7"/>
      <c r="AM284" s="59"/>
      <c r="AN284" s="46"/>
      <c r="AO284" s="59"/>
      <c r="AP284" s="75" cm="1">
        <f t="array" ref="AP284">SUM(VLOOKUP(I285:W285,GRADEPOINT!$A$2:$B$7,2,0)*$I$4:$W$4)</f>
        <v>63</v>
      </c>
      <c r="AQ284" s="73">
        <f t="shared" ref="AQ284" si="552">ROUND(AP284/AM285,2)</f>
        <v>2.74</v>
      </c>
      <c r="AR284" s="72"/>
    </row>
    <row r="285" spans="1:44" ht="15" thickBot="1" x14ac:dyDescent="0.35">
      <c r="A285" s="69"/>
      <c r="B285" s="71"/>
      <c r="C285" s="86"/>
      <c r="D285" s="87"/>
      <c r="E285" s="87"/>
      <c r="F285" s="87"/>
      <c r="G285" s="87"/>
      <c r="H285" s="88"/>
      <c r="I285" s="51" t="str" cm="1">
        <f t="array" ref="I285">_xlfn.IFS(I284&gt;= 70,"A",I284&gt;=60,"B",I284&gt;=50,"C",I284&gt;=45,"D",I284&gt;=40,"E",I284&lt;40,"F")</f>
        <v>C</v>
      </c>
      <c r="J285" s="51" t="str" cm="1">
        <f t="array" ref="J285">_xlfn.IFS(J284&gt;= 70,"A",J284&gt;=60,"B",J284&gt;=50,"C",J284&gt;=45,"D",J284&gt;=40,"E",J284&lt;40,"F")</f>
        <v>D</v>
      </c>
      <c r="K285" s="51" t="str" cm="1">
        <f t="array" ref="K285">_xlfn.IFS(K284&gt;= 70,"A",K284&gt;=60,"B",K284&gt;=50,"C",K284&gt;=45,"D",K284&gt;=40,"E",K284&lt;40,"F")</f>
        <v>D</v>
      </c>
      <c r="L285" s="50" t="str" cm="1">
        <f t="array" ref="L285">_xlfn.IFS(L284&gt;= 70,"A",L284&gt;=60,"B",L284&gt;=50,"C",L284&gt;=45,"D",L284&gt;=40,"E",L284&lt;40,"F")</f>
        <v>D</v>
      </c>
      <c r="M285" s="51" t="str" cm="1">
        <f t="array" ref="M285">_xlfn.IFS(M284&gt;= 70,"A",M284&gt;=60,"B",M284&gt;=50,"C",M284&gt;=45,"D",M284&gt;=40,"E",M284&lt;40,"F")</f>
        <v>D</v>
      </c>
      <c r="N285" s="51" t="str" cm="1">
        <f t="array" ref="N285">_xlfn.IFS(N284&gt;= 70,"A",N284&gt;=60,"B",N284&gt;=50,"C",N284&gt;=45,"D",N284&gt;=40,"E",N284&lt;40,"F")</f>
        <v>C</v>
      </c>
      <c r="O285" s="51" t="str" cm="1">
        <f t="array" ref="O285">_xlfn.IFS(O284&gt;= 70,"A",O284&gt;=60,"B",O284&gt;=50,"C",O284&gt;=45,"D",O284&gt;=40,"E",O284&lt;40,"F")</f>
        <v>C</v>
      </c>
      <c r="P285" s="51" t="str" cm="1">
        <f t="array" ref="P285">_xlfn.IFS(P284&gt;= 70,"A",P284&gt;=60,"B",P284&gt;=50,"C",P284&gt;=45,"D",P284&gt;=40,"E",P284&lt;40,"F")</f>
        <v>C</v>
      </c>
      <c r="Q285" s="51" t="str" cm="1">
        <f t="array" ref="Q285">_xlfn.IFS(Q284&gt;= 70,"A",Q284&gt;=60,"B",Q284&gt;=50,"C",Q284&gt;=45,"D",Q284&gt;=40,"E",Q284&lt;40,"F")</f>
        <v>C</v>
      </c>
      <c r="R285" s="51" t="str" cm="1">
        <f t="array" ref="R285">_xlfn.IFS(R284&gt;= 70,"A",R284&gt;=60,"B",R284&gt;=50,"C",R284&gt;=45,"D",R284&gt;=40,"E",R284&lt;40,"F")</f>
        <v>C</v>
      </c>
      <c r="S285" s="51" t="str" cm="1">
        <f t="array" ref="S285">_xlfn.IFS(S284&gt;= 70,"A",S284&gt;=60,"B",S284&gt;=50,"C",S284&gt;=45,"D",S284&gt;=40,"E",S284&lt;40,"F")</f>
        <v>C</v>
      </c>
      <c r="T285" s="51" t="str" cm="1">
        <f t="array" ref="T285">_xlfn.IFS(T284&gt;= 70,"A",T284&gt;=60,"B",T284&gt;=50,"C",T284&gt;=45,"D",T284&gt;=40,"E",T284&lt;40,"F")</f>
        <v>C</v>
      </c>
      <c r="U285" s="51" t="str" cm="1">
        <f t="array" ref="U285">_xlfn.IFS(U284&gt;= 70,"A",U284&gt;=60,"B",U284&gt;=50,"C",U284&gt;=45,"D",U284&gt;=40,"E",U284&lt;40,"F")</f>
        <v>C</v>
      </c>
      <c r="V285" s="51" t="str" cm="1">
        <f t="array" ref="V285">_xlfn.IFS(V284&gt;= 70,"A",V284&gt;=60,"B",V284&gt;=50,"C",V284&gt;=45,"D",V284&gt;=40,"E",V284&lt;40,"F")</f>
        <v>C</v>
      </c>
      <c r="W285" s="50" t="str" cm="1">
        <f t="array" ref="W285">_xlfn.IFS(W284&gt;= 70,"A",W284&gt;=60,"B",W284&gt;=50,"C",W284&gt;=45,"D",W284&gt;=40,"E",W284&lt;40,"F")</f>
        <v>C</v>
      </c>
      <c r="X285" s="7"/>
      <c r="Y285" s="7"/>
      <c r="Z285" s="7"/>
      <c r="AA285" s="7"/>
      <c r="AB285" s="7"/>
      <c r="AC285" s="7"/>
      <c r="AD285" s="7"/>
      <c r="AE285" s="7"/>
      <c r="AF285" s="7"/>
      <c r="AM285" s="56">
        <f t="shared" ref="AM285" si="553">SUMIFS($I$4:$W$4,I284:W284,"&gt;0")</f>
        <v>23</v>
      </c>
      <c r="AN285" s="47">
        <f t="shared" ref="AN285" si="554">(SUMIFS($I$4:$W$4,I284:W284,"&gt;0")-SUMIFS($I$4:$W$4,I285:W285,"F"))</f>
        <v>23</v>
      </c>
      <c r="AO285" s="56">
        <f t="shared" ref="AO285" si="555">SUMIFS($I$4:$W$4,I285:W285,"F")</f>
        <v>0</v>
      </c>
      <c r="AP285" s="76"/>
      <c r="AQ285" s="74"/>
      <c r="AR285" s="71"/>
    </row>
    <row r="286" spans="1:44" ht="15" thickTop="1" x14ac:dyDescent="0.3">
      <c r="A286" s="68">
        <v>141</v>
      </c>
      <c r="B286" s="70"/>
      <c r="C286" s="75"/>
      <c r="D286" s="84"/>
      <c r="E286" s="84"/>
      <c r="F286" s="84"/>
      <c r="G286" s="84"/>
      <c r="H286" s="85"/>
      <c r="I286" s="49">
        <v>56</v>
      </c>
      <c r="J286" s="49">
        <v>46</v>
      </c>
      <c r="K286" s="49">
        <v>47</v>
      </c>
      <c r="L286" s="49">
        <v>48</v>
      </c>
      <c r="M286" s="49">
        <v>49</v>
      </c>
      <c r="N286" s="49">
        <v>50</v>
      </c>
      <c r="O286" s="49">
        <v>51</v>
      </c>
      <c r="P286" s="49">
        <v>52</v>
      </c>
      <c r="Q286" s="49">
        <v>53</v>
      </c>
      <c r="R286" s="49">
        <v>54</v>
      </c>
      <c r="S286" s="49">
        <v>55</v>
      </c>
      <c r="T286" s="49">
        <v>56</v>
      </c>
      <c r="U286" s="49">
        <v>57</v>
      </c>
      <c r="V286" s="49">
        <v>58</v>
      </c>
      <c r="W286" s="49">
        <v>59</v>
      </c>
      <c r="X286" s="7"/>
      <c r="Y286" s="7"/>
      <c r="Z286" s="7"/>
      <c r="AA286" s="7"/>
      <c r="AB286" s="7"/>
      <c r="AC286" s="7"/>
      <c r="AD286" s="7"/>
      <c r="AE286" s="7"/>
      <c r="AF286" s="7"/>
      <c r="AM286" s="59"/>
      <c r="AN286" s="46"/>
      <c r="AO286" s="59"/>
      <c r="AP286" s="75" cm="1">
        <f t="array" ref="AP286">SUM(VLOOKUP(I287:W287,GRADEPOINT!$A$2:$B$7,2,0)*$I$4:$W$4)</f>
        <v>63</v>
      </c>
      <c r="AQ286" s="73">
        <f t="shared" ref="AQ286" si="556">ROUND(AP286/AM287,2)</f>
        <v>2.74</v>
      </c>
      <c r="AR286" s="72"/>
    </row>
    <row r="287" spans="1:44" ht="15" thickBot="1" x14ac:dyDescent="0.35">
      <c r="A287" s="69"/>
      <c r="B287" s="71"/>
      <c r="C287" s="86"/>
      <c r="D287" s="87"/>
      <c r="E287" s="87"/>
      <c r="F287" s="87"/>
      <c r="G287" s="87"/>
      <c r="H287" s="88"/>
      <c r="I287" s="51" t="str" cm="1">
        <f t="array" ref="I287">_xlfn.IFS(I286&gt;= 70,"A",I286&gt;=60,"B",I286&gt;=50,"C",I286&gt;=45,"D",I286&gt;=40,"E",I286&lt;40,"F")</f>
        <v>C</v>
      </c>
      <c r="J287" s="51" t="str" cm="1">
        <f t="array" ref="J287">_xlfn.IFS(J286&gt;= 70,"A",J286&gt;=60,"B",J286&gt;=50,"C",J286&gt;=45,"D",J286&gt;=40,"E",J286&lt;40,"F")</f>
        <v>D</v>
      </c>
      <c r="K287" s="51" t="str" cm="1">
        <f t="array" ref="K287">_xlfn.IFS(K286&gt;= 70,"A",K286&gt;=60,"B",K286&gt;=50,"C",K286&gt;=45,"D",K286&gt;=40,"E",K286&lt;40,"F")</f>
        <v>D</v>
      </c>
      <c r="L287" s="50" t="str" cm="1">
        <f t="array" ref="L287">_xlfn.IFS(L286&gt;= 70,"A",L286&gt;=60,"B",L286&gt;=50,"C",L286&gt;=45,"D",L286&gt;=40,"E",L286&lt;40,"F")</f>
        <v>D</v>
      </c>
      <c r="M287" s="51" t="str" cm="1">
        <f t="array" ref="M287">_xlfn.IFS(M286&gt;= 70,"A",M286&gt;=60,"B",M286&gt;=50,"C",M286&gt;=45,"D",M286&gt;=40,"E",M286&lt;40,"F")</f>
        <v>D</v>
      </c>
      <c r="N287" s="51" t="str" cm="1">
        <f t="array" ref="N287">_xlfn.IFS(N286&gt;= 70,"A",N286&gt;=60,"B",N286&gt;=50,"C",N286&gt;=45,"D",N286&gt;=40,"E",N286&lt;40,"F")</f>
        <v>C</v>
      </c>
      <c r="O287" s="51" t="str" cm="1">
        <f t="array" ref="O287">_xlfn.IFS(O286&gt;= 70,"A",O286&gt;=60,"B",O286&gt;=50,"C",O286&gt;=45,"D",O286&gt;=40,"E",O286&lt;40,"F")</f>
        <v>C</v>
      </c>
      <c r="P287" s="51" t="str" cm="1">
        <f t="array" ref="P287">_xlfn.IFS(P286&gt;= 70,"A",P286&gt;=60,"B",P286&gt;=50,"C",P286&gt;=45,"D",P286&gt;=40,"E",P286&lt;40,"F")</f>
        <v>C</v>
      </c>
      <c r="Q287" s="51" t="str" cm="1">
        <f t="array" ref="Q287">_xlfn.IFS(Q286&gt;= 70,"A",Q286&gt;=60,"B",Q286&gt;=50,"C",Q286&gt;=45,"D",Q286&gt;=40,"E",Q286&lt;40,"F")</f>
        <v>C</v>
      </c>
      <c r="R287" s="51" t="str" cm="1">
        <f t="array" ref="R287">_xlfn.IFS(R286&gt;= 70,"A",R286&gt;=60,"B",R286&gt;=50,"C",R286&gt;=45,"D",R286&gt;=40,"E",R286&lt;40,"F")</f>
        <v>C</v>
      </c>
      <c r="S287" s="51" t="str" cm="1">
        <f t="array" ref="S287">_xlfn.IFS(S286&gt;= 70,"A",S286&gt;=60,"B",S286&gt;=50,"C",S286&gt;=45,"D",S286&gt;=40,"E",S286&lt;40,"F")</f>
        <v>C</v>
      </c>
      <c r="T287" s="51" t="str" cm="1">
        <f t="array" ref="T287">_xlfn.IFS(T286&gt;= 70,"A",T286&gt;=60,"B",T286&gt;=50,"C",T286&gt;=45,"D",T286&gt;=40,"E",T286&lt;40,"F")</f>
        <v>C</v>
      </c>
      <c r="U287" s="51" t="str" cm="1">
        <f t="array" ref="U287">_xlfn.IFS(U286&gt;= 70,"A",U286&gt;=60,"B",U286&gt;=50,"C",U286&gt;=45,"D",U286&gt;=40,"E",U286&lt;40,"F")</f>
        <v>C</v>
      </c>
      <c r="V287" s="51" t="str" cm="1">
        <f t="array" ref="V287">_xlfn.IFS(V286&gt;= 70,"A",V286&gt;=60,"B",V286&gt;=50,"C",V286&gt;=45,"D",V286&gt;=40,"E",V286&lt;40,"F")</f>
        <v>C</v>
      </c>
      <c r="W287" s="50" t="str" cm="1">
        <f t="array" ref="W287">_xlfn.IFS(W286&gt;= 70,"A",W286&gt;=60,"B",W286&gt;=50,"C",W286&gt;=45,"D",W286&gt;=40,"E",W286&lt;40,"F")</f>
        <v>C</v>
      </c>
      <c r="X287" s="7"/>
      <c r="Y287" s="7"/>
      <c r="Z287" s="7"/>
      <c r="AA287" s="7"/>
      <c r="AB287" s="7"/>
      <c r="AC287" s="7"/>
      <c r="AD287" s="7"/>
      <c r="AE287" s="7"/>
      <c r="AF287" s="7"/>
      <c r="AM287" s="56">
        <f t="shared" ref="AM287" si="557">SUMIFS($I$4:$W$4,I286:W286,"&gt;0")</f>
        <v>23</v>
      </c>
      <c r="AN287" s="47">
        <f t="shared" ref="AN287" si="558">(SUMIFS($I$4:$W$4,I286:W286,"&gt;0")-SUMIFS($I$4:$W$4,I287:W287,"F"))</f>
        <v>23</v>
      </c>
      <c r="AO287" s="56">
        <f t="shared" ref="AO287" si="559">SUMIFS($I$4:$W$4,I287:W287,"F")</f>
        <v>0</v>
      </c>
      <c r="AP287" s="76"/>
      <c r="AQ287" s="74"/>
      <c r="AR287" s="71"/>
    </row>
    <row r="288" spans="1:44" ht="15" thickTop="1" x14ac:dyDescent="0.3">
      <c r="A288" s="68">
        <v>142</v>
      </c>
      <c r="B288" s="70"/>
      <c r="C288" s="75"/>
      <c r="D288" s="84"/>
      <c r="E288" s="84"/>
      <c r="F288" s="84"/>
      <c r="G288" s="84"/>
      <c r="H288" s="85"/>
      <c r="I288" s="49">
        <v>56</v>
      </c>
      <c r="J288" s="49">
        <v>46</v>
      </c>
      <c r="K288" s="49">
        <v>47</v>
      </c>
      <c r="L288" s="49">
        <v>48</v>
      </c>
      <c r="M288" s="49">
        <v>49</v>
      </c>
      <c r="N288" s="49">
        <v>50</v>
      </c>
      <c r="O288" s="49">
        <v>51</v>
      </c>
      <c r="P288" s="49">
        <v>52</v>
      </c>
      <c r="Q288" s="49">
        <v>53</v>
      </c>
      <c r="R288" s="49">
        <v>54</v>
      </c>
      <c r="S288" s="49">
        <v>55</v>
      </c>
      <c r="T288" s="49">
        <v>56</v>
      </c>
      <c r="U288" s="49">
        <v>57</v>
      </c>
      <c r="V288" s="49">
        <v>58</v>
      </c>
      <c r="W288" s="49">
        <v>59</v>
      </c>
      <c r="X288" s="7"/>
      <c r="Y288" s="7"/>
      <c r="Z288" s="7"/>
      <c r="AA288" s="7"/>
      <c r="AB288" s="7"/>
      <c r="AC288" s="7"/>
      <c r="AD288" s="7"/>
      <c r="AE288" s="7"/>
      <c r="AF288" s="7"/>
      <c r="AM288" s="59"/>
      <c r="AN288" s="46"/>
      <c r="AO288" s="59"/>
      <c r="AP288" s="75" cm="1">
        <f t="array" ref="AP288">SUM(VLOOKUP(I289:W289,GRADEPOINT!$A$2:$B$7,2,0)*$I$4:$W$4)</f>
        <v>63</v>
      </c>
      <c r="AQ288" s="73">
        <f t="shared" ref="AQ288" si="560">ROUND(AP288/AM289,2)</f>
        <v>2.74</v>
      </c>
      <c r="AR288" s="72"/>
    </row>
    <row r="289" spans="1:44" ht="15" thickBot="1" x14ac:dyDescent="0.35">
      <c r="A289" s="69"/>
      <c r="B289" s="71"/>
      <c r="C289" s="86"/>
      <c r="D289" s="87"/>
      <c r="E289" s="87"/>
      <c r="F289" s="87"/>
      <c r="G289" s="87"/>
      <c r="H289" s="88"/>
      <c r="I289" s="51" t="str" cm="1">
        <f t="array" ref="I289">_xlfn.IFS(I288&gt;= 70,"A",I288&gt;=60,"B",I288&gt;=50,"C",I288&gt;=45,"D",I288&gt;=40,"E",I288&lt;40,"F")</f>
        <v>C</v>
      </c>
      <c r="J289" s="51" t="str" cm="1">
        <f t="array" ref="J289">_xlfn.IFS(J288&gt;= 70,"A",J288&gt;=60,"B",J288&gt;=50,"C",J288&gt;=45,"D",J288&gt;=40,"E",J288&lt;40,"F")</f>
        <v>D</v>
      </c>
      <c r="K289" s="51" t="str" cm="1">
        <f t="array" ref="K289">_xlfn.IFS(K288&gt;= 70,"A",K288&gt;=60,"B",K288&gt;=50,"C",K288&gt;=45,"D",K288&gt;=40,"E",K288&lt;40,"F")</f>
        <v>D</v>
      </c>
      <c r="L289" s="50" t="str" cm="1">
        <f t="array" ref="L289">_xlfn.IFS(L288&gt;= 70,"A",L288&gt;=60,"B",L288&gt;=50,"C",L288&gt;=45,"D",L288&gt;=40,"E",L288&lt;40,"F")</f>
        <v>D</v>
      </c>
      <c r="M289" s="51" t="str" cm="1">
        <f t="array" ref="M289">_xlfn.IFS(M288&gt;= 70,"A",M288&gt;=60,"B",M288&gt;=50,"C",M288&gt;=45,"D",M288&gt;=40,"E",M288&lt;40,"F")</f>
        <v>D</v>
      </c>
      <c r="N289" s="51" t="str" cm="1">
        <f t="array" ref="N289">_xlfn.IFS(N288&gt;= 70,"A",N288&gt;=60,"B",N288&gt;=50,"C",N288&gt;=45,"D",N288&gt;=40,"E",N288&lt;40,"F")</f>
        <v>C</v>
      </c>
      <c r="O289" s="51" t="str" cm="1">
        <f t="array" ref="O289">_xlfn.IFS(O288&gt;= 70,"A",O288&gt;=60,"B",O288&gt;=50,"C",O288&gt;=45,"D",O288&gt;=40,"E",O288&lt;40,"F")</f>
        <v>C</v>
      </c>
      <c r="P289" s="51" t="str" cm="1">
        <f t="array" ref="P289">_xlfn.IFS(P288&gt;= 70,"A",P288&gt;=60,"B",P288&gt;=50,"C",P288&gt;=45,"D",P288&gt;=40,"E",P288&lt;40,"F")</f>
        <v>C</v>
      </c>
      <c r="Q289" s="51" t="str" cm="1">
        <f t="array" ref="Q289">_xlfn.IFS(Q288&gt;= 70,"A",Q288&gt;=60,"B",Q288&gt;=50,"C",Q288&gt;=45,"D",Q288&gt;=40,"E",Q288&lt;40,"F")</f>
        <v>C</v>
      </c>
      <c r="R289" s="51" t="str" cm="1">
        <f t="array" ref="R289">_xlfn.IFS(R288&gt;= 70,"A",R288&gt;=60,"B",R288&gt;=50,"C",R288&gt;=45,"D",R288&gt;=40,"E",R288&lt;40,"F")</f>
        <v>C</v>
      </c>
      <c r="S289" s="51" t="str" cm="1">
        <f t="array" ref="S289">_xlfn.IFS(S288&gt;= 70,"A",S288&gt;=60,"B",S288&gt;=50,"C",S288&gt;=45,"D",S288&gt;=40,"E",S288&lt;40,"F")</f>
        <v>C</v>
      </c>
      <c r="T289" s="51" t="str" cm="1">
        <f t="array" ref="T289">_xlfn.IFS(T288&gt;= 70,"A",T288&gt;=60,"B",T288&gt;=50,"C",T288&gt;=45,"D",T288&gt;=40,"E",T288&lt;40,"F")</f>
        <v>C</v>
      </c>
      <c r="U289" s="51" t="str" cm="1">
        <f t="array" ref="U289">_xlfn.IFS(U288&gt;= 70,"A",U288&gt;=60,"B",U288&gt;=50,"C",U288&gt;=45,"D",U288&gt;=40,"E",U288&lt;40,"F")</f>
        <v>C</v>
      </c>
      <c r="V289" s="51" t="str" cm="1">
        <f t="array" ref="V289">_xlfn.IFS(V288&gt;= 70,"A",V288&gt;=60,"B",V288&gt;=50,"C",V288&gt;=45,"D",V288&gt;=40,"E",V288&lt;40,"F")</f>
        <v>C</v>
      </c>
      <c r="W289" s="50" t="str" cm="1">
        <f t="array" ref="W289">_xlfn.IFS(W288&gt;= 70,"A",W288&gt;=60,"B",W288&gt;=50,"C",W288&gt;=45,"D",W288&gt;=40,"E",W288&lt;40,"F")</f>
        <v>C</v>
      </c>
      <c r="X289" s="7"/>
      <c r="Y289" s="7"/>
      <c r="Z289" s="7"/>
      <c r="AA289" s="7"/>
      <c r="AB289" s="7"/>
      <c r="AC289" s="7"/>
      <c r="AD289" s="7"/>
      <c r="AE289" s="7"/>
      <c r="AF289" s="7"/>
      <c r="AM289" s="56">
        <f t="shared" ref="AM289" si="561">SUMIFS($I$4:$W$4,I288:W288,"&gt;0")</f>
        <v>23</v>
      </c>
      <c r="AN289" s="47">
        <f t="shared" ref="AN289" si="562">(SUMIFS($I$4:$W$4,I288:W288,"&gt;0")-SUMIFS($I$4:$W$4,I289:W289,"F"))</f>
        <v>23</v>
      </c>
      <c r="AO289" s="56">
        <f t="shared" ref="AO289" si="563">SUMIFS($I$4:$W$4,I289:W289,"F")</f>
        <v>0</v>
      </c>
      <c r="AP289" s="76"/>
      <c r="AQ289" s="74"/>
      <c r="AR289" s="71"/>
    </row>
    <row r="290" spans="1:44" ht="15" thickTop="1" x14ac:dyDescent="0.3">
      <c r="A290" s="68">
        <v>143</v>
      </c>
      <c r="B290" s="70"/>
      <c r="C290" s="75"/>
      <c r="D290" s="84"/>
      <c r="E290" s="84"/>
      <c r="F290" s="84"/>
      <c r="G290" s="84"/>
      <c r="H290" s="85"/>
      <c r="I290" s="49">
        <v>56</v>
      </c>
      <c r="J290" s="49">
        <v>46</v>
      </c>
      <c r="K290" s="49">
        <v>47</v>
      </c>
      <c r="L290" s="49">
        <v>48</v>
      </c>
      <c r="M290" s="49">
        <v>49</v>
      </c>
      <c r="N290" s="49">
        <v>50</v>
      </c>
      <c r="O290" s="49">
        <v>51</v>
      </c>
      <c r="P290" s="49">
        <v>52</v>
      </c>
      <c r="Q290" s="49">
        <v>53</v>
      </c>
      <c r="R290" s="49">
        <v>54</v>
      </c>
      <c r="S290" s="49">
        <v>55</v>
      </c>
      <c r="T290" s="49">
        <v>56</v>
      </c>
      <c r="U290" s="49">
        <v>57</v>
      </c>
      <c r="V290" s="49">
        <v>58</v>
      </c>
      <c r="W290" s="49">
        <v>59</v>
      </c>
      <c r="X290" s="7"/>
      <c r="Y290" s="7"/>
      <c r="Z290" s="7"/>
      <c r="AA290" s="7"/>
      <c r="AB290" s="7"/>
      <c r="AC290" s="7"/>
      <c r="AD290" s="7"/>
      <c r="AE290" s="7"/>
      <c r="AF290" s="7"/>
      <c r="AM290" s="59"/>
      <c r="AN290" s="46"/>
      <c r="AO290" s="59"/>
      <c r="AP290" s="75" cm="1">
        <f t="array" ref="AP290">SUM(VLOOKUP(I291:W291,GRADEPOINT!$A$2:$B$7,2,0)*$I$4:$W$4)</f>
        <v>63</v>
      </c>
      <c r="AQ290" s="73">
        <f t="shared" ref="AQ290" si="564">ROUND(AP290/AM291,2)</f>
        <v>2.74</v>
      </c>
      <c r="AR290" s="72"/>
    </row>
    <row r="291" spans="1:44" ht="15" thickBot="1" x14ac:dyDescent="0.35">
      <c r="A291" s="69"/>
      <c r="B291" s="71"/>
      <c r="C291" s="86"/>
      <c r="D291" s="87"/>
      <c r="E291" s="87"/>
      <c r="F291" s="87"/>
      <c r="G291" s="87"/>
      <c r="H291" s="88"/>
      <c r="I291" s="51" t="str" cm="1">
        <f t="array" ref="I291">_xlfn.IFS(I290&gt;= 70,"A",I290&gt;=60,"B",I290&gt;=50,"C",I290&gt;=45,"D",I290&gt;=40,"E",I290&lt;40,"F")</f>
        <v>C</v>
      </c>
      <c r="J291" s="51" t="str" cm="1">
        <f t="array" ref="J291">_xlfn.IFS(J290&gt;= 70,"A",J290&gt;=60,"B",J290&gt;=50,"C",J290&gt;=45,"D",J290&gt;=40,"E",J290&lt;40,"F")</f>
        <v>D</v>
      </c>
      <c r="K291" s="51" t="str" cm="1">
        <f t="array" ref="K291">_xlfn.IFS(K290&gt;= 70,"A",K290&gt;=60,"B",K290&gt;=50,"C",K290&gt;=45,"D",K290&gt;=40,"E",K290&lt;40,"F")</f>
        <v>D</v>
      </c>
      <c r="L291" s="50" t="str" cm="1">
        <f t="array" ref="L291">_xlfn.IFS(L290&gt;= 70,"A",L290&gt;=60,"B",L290&gt;=50,"C",L290&gt;=45,"D",L290&gt;=40,"E",L290&lt;40,"F")</f>
        <v>D</v>
      </c>
      <c r="M291" s="51" t="str" cm="1">
        <f t="array" ref="M291">_xlfn.IFS(M290&gt;= 70,"A",M290&gt;=60,"B",M290&gt;=50,"C",M290&gt;=45,"D",M290&gt;=40,"E",M290&lt;40,"F")</f>
        <v>D</v>
      </c>
      <c r="N291" s="51" t="str" cm="1">
        <f t="array" ref="N291">_xlfn.IFS(N290&gt;= 70,"A",N290&gt;=60,"B",N290&gt;=50,"C",N290&gt;=45,"D",N290&gt;=40,"E",N290&lt;40,"F")</f>
        <v>C</v>
      </c>
      <c r="O291" s="51" t="str" cm="1">
        <f t="array" ref="O291">_xlfn.IFS(O290&gt;= 70,"A",O290&gt;=60,"B",O290&gt;=50,"C",O290&gt;=45,"D",O290&gt;=40,"E",O290&lt;40,"F")</f>
        <v>C</v>
      </c>
      <c r="P291" s="51" t="str" cm="1">
        <f t="array" ref="P291">_xlfn.IFS(P290&gt;= 70,"A",P290&gt;=60,"B",P290&gt;=50,"C",P290&gt;=45,"D",P290&gt;=40,"E",P290&lt;40,"F")</f>
        <v>C</v>
      </c>
      <c r="Q291" s="51" t="str" cm="1">
        <f t="array" ref="Q291">_xlfn.IFS(Q290&gt;= 70,"A",Q290&gt;=60,"B",Q290&gt;=50,"C",Q290&gt;=45,"D",Q290&gt;=40,"E",Q290&lt;40,"F")</f>
        <v>C</v>
      </c>
      <c r="R291" s="51" t="str" cm="1">
        <f t="array" ref="R291">_xlfn.IFS(R290&gt;= 70,"A",R290&gt;=60,"B",R290&gt;=50,"C",R290&gt;=45,"D",R290&gt;=40,"E",R290&lt;40,"F")</f>
        <v>C</v>
      </c>
      <c r="S291" s="51" t="str" cm="1">
        <f t="array" ref="S291">_xlfn.IFS(S290&gt;= 70,"A",S290&gt;=60,"B",S290&gt;=50,"C",S290&gt;=45,"D",S290&gt;=40,"E",S290&lt;40,"F")</f>
        <v>C</v>
      </c>
      <c r="T291" s="51" t="str" cm="1">
        <f t="array" ref="T291">_xlfn.IFS(T290&gt;= 70,"A",T290&gt;=60,"B",T290&gt;=50,"C",T290&gt;=45,"D",T290&gt;=40,"E",T290&lt;40,"F")</f>
        <v>C</v>
      </c>
      <c r="U291" s="51" t="str" cm="1">
        <f t="array" ref="U291">_xlfn.IFS(U290&gt;= 70,"A",U290&gt;=60,"B",U290&gt;=50,"C",U290&gt;=45,"D",U290&gt;=40,"E",U290&lt;40,"F")</f>
        <v>C</v>
      </c>
      <c r="V291" s="51" t="str" cm="1">
        <f t="array" ref="V291">_xlfn.IFS(V290&gt;= 70,"A",V290&gt;=60,"B",V290&gt;=50,"C",V290&gt;=45,"D",V290&gt;=40,"E",V290&lt;40,"F")</f>
        <v>C</v>
      </c>
      <c r="W291" s="50" t="str" cm="1">
        <f t="array" ref="W291">_xlfn.IFS(W290&gt;= 70,"A",W290&gt;=60,"B",W290&gt;=50,"C",W290&gt;=45,"D",W290&gt;=40,"E",W290&lt;40,"F")</f>
        <v>C</v>
      </c>
      <c r="X291" s="7"/>
      <c r="Y291" s="7"/>
      <c r="Z291" s="7"/>
      <c r="AA291" s="7"/>
      <c r="AB291" s="7"/>
      <c r="AC291" s="7"/>
      <c r="AD291" s="7"/>
      <c r="AE291" s="7"/>
      <c r="AF291" s="7"/>
      <c r="AM291" s="56">
        <f t="shared" ref="AM291" si="565">SUMIFS($I$4:$W$4,I290:W290,"&gt;0")</f>
        <v>23</v>
      </c>
      <c r="AN291" s="47">
        <f t="shared" ref="AN291" si="566">(SUMIFS($I$4:$W$4,I290:W290,"&gt;0")-SUMIFS($I$4:$W$4,I291:W291,"F"))</f>
        <v>23</v>
      </c>
      <c r="AO291" s="56">
        <f t="shared" ref="AO291" si="567">SUMIFS($I$4:$W$4,I291:W291,"F")</f>
        <v>0</v>
      </c>
      <c r="AP291" s="76"/>
      <c r="AQ291" s="74"/>
      <c r="AR291" s="71"/>
    </row>
    <row r="292" spans="1:44" ht="15" thickTop="1" x14ac:dyDescent="0.3">
      <c r="A292" s="68">
        <v>144</v>
      </c>
      <c r="B292" s="70"/>
      <c r="C292" s="75"/>
      <c r="D292" s="84"/>
      <c r="E292" s="84"/>
      <c r="F292" s="84"/>
      <c r="G292" s="84"/>
      <c r="H292" s="85"/>
      <c r="I292" s="49">
        <v>56</v>
      </c>
      <c r="J292" s="49">
        <v>46</v>
      </c>
      <c r="K292" s="49">
        <v>47</v>
      </c>
      <c r="L292" s="49">
        <v>48</v>
      </c>
      <c r="M292" s="49">
        <v>49</v>
      </c>
      <c r="N292" s="49">
        <v>50</v>
      </c>
      <c r="O292" s="49">
        <v>51</v>
      </c>
      <c r="P292" s="49">
        <v>52</v>
      </c>
      <c r="Q292" s="49">
        <v>53</v>
      </c>
      <c r="R292" s="49">
        <v>54</v>
      </c>
      <c r="S292" s="49">
        <v>55</v>
      </c>
      <c r="T292" s="49">
        <v>56</v>
      </c>
      <c r="U292" s="49">
        <v>57</v>
      </c>
      <c r="V292" s="49">
        <v>58</v>
      </c>
      <c r="W292" s="49">
        <v>59</v>
      </c>
      <c r="X292" s="7"/>
      <c r="Y292" s="7"/>
      <c r="Z292" s="7"/>
      <c r="AA292" s="7"/>
      <c r="AB292" s="7"/>
      <c r="AC292" s="7"/>
      <c r="AD292" s="7"/>
      <c r="AE292" s="7"/>
      <c r="AF292" s="7"/>
      <c r="AM292" s="59"/>
      <c r="AN292" s="46"/>
      <c r="AO292" s="59"/>
      <c r="AP292" s="75" cm="1">
        <f t="array" ref="AP292">SUM(VLOOKUP(I293:W293,GRADEPOINT!$A$2:$B$7,2,0)*$I$4:$W$4)</f>
        <v>63</v>
      </c>
      <c r="AQ292" s="73">
        <f t="shared" ref="AQ292" si="568">ROUND(AP292/AM293,2)</f>
        <v>2.74</v>
      </c>
      <c r="AR292" s="72"/>
    </row>
    <row r="293" spans="1:44" ht="15" thickBot="1" x14ac:dyDescent="0.35">
      <c r="A293" s="69"/>
      <c r="B293" s="71"/>
      <c r="C293" s="86"/>
      <c r="D293" s="87"/>
      <c r="E293" s="87"/>
      <c r="F293" s="87"/>
      <c r="G293" s="87"/>
      <c r="H293" s="88"/>
      <c r="I293" s="51" t="str" cm="1">
        <f t="array" ref="I293">_xlfn.IFS(I292&gt;= 70,"A",I292&gt;=60,"B",I292&gt;=50,"C",I292&gt;=45,"D",I292&gt;=40,"E",I292&lt;40,"F")</f>
        <v>C</v>
      </c>
      <c r="J293" s="51" t="str" cm="1">
        <f t="array" ref="J293">_xlfn.IFS(J292&gt;= 70,"A",J292&gt;=60,"B",J292&gt;=50,"C",J292&gt;=45,"D",J292&gt;=40,"E",J292&lt;40,"F")</f>
        <v>D</v>
      </c>
      <c r="K293" s="51" t="str" cm="1">
        <f t="array" ref="K293">_xlfn.IFS(K292&gt;= 70,"A",K292&gt;=60,"B",K292&gt;=50,"C",K292&gt;=45,"D",K292&gt;=40,"E",K292&lt;40,"F")</f>
        <v>D</v>
      </c>
      <c r="L293" s="50" t="str" cm="1">
        <f t="array" ref="L293">_xlfn.IFS(L292&gt;= 70,"A",L292&gt;=60,"B",L292&gt;=50,"C",L292&gt;=45,"D",L292&gt;=40,"E",L292&lt;40,"F")</f>
        <v>D</v>
      </c>
      <c r="M293" s="51" t="str" cm="1">
        <f t="array" ref="M293">_xlfn.IFS(M292&gt;= 70,"A",M292&gt;=60,"B",M292&gt;=50,"C",M292&gt;=45,"D",M292&gt;=40,"E",M292&lt;40,"F")</f>
        <v>D</v>
      </c>
      <c r="N293" s="51" t="str" cm="1">
        <f t="array" ref="N293">_xlfn.IFS(N292&gt;= 70,"A",N292&gt;=60,"B",N292&gt;=50,"C",N292&gt;=45,"D",N292&gt;=40,"E",N292&lt;40,"F")</f>
        <v>C</v>
      </c>
      <c r="O293" s="51" t="str" cm="1">
        <f t="array" ref="O293">_xlfn.IFS(O292&gt;= 70,"A",O292&gt;=60,"B",O292&gt;=50,"C",O292&gt;=45,"D",O292&gt;=40,"E",O292&lt;40,"F")</f>
        <v>C</v>
      </c>
      <c r="P293" s="51" t="str" cm="1">
        <f t="array" ref="P293">_xlfn.IFS(P292&gt;= 70,"A",P292&gt;=60,"B",P292&gt;=50,"C",P292&gt;=45,"D",P292&gt;=40,"E",P292&lt;40,"F")</f>
        <v>C</v>
      </c>
      <c r="Q293" s="51" t="str" cm="1">
        <f t="array" ref="Q293">_xlfn.IFS(Q292&gt;= 70,"A",Q292&gt;=60,"B",Q292&gt;=50,"C",Q292&gt;=45,"D",Q292&gt;=40,"E",Q292&lt;40,"F")</f>
        <v>C</v>
      </c>
      <c r="R293" s="51" t="str" cm="1">
        <f t="array" ref="R293">_xlfn.IFS(R292&gt;= 70,"A",R292&gt;=60,"B",R292&gt;=50,"C",R292&gt;=45,"D",R292&gt;=40,"E",R292&lt;40,"F")</f>
        <v>C</v>
      </c>
      <c r="S293" s="51" t="str" cm="1">
        <f t="array" ref="S293">_xlfn.IFS(S292&gt;= 70,"A",S292&gt;=60,"B",S292&gt;=50,"C",S292&gt;=45,"D",S292&gt;=40,"E",S292&lt;40,"F")</f>
        <v>C</v>
      </c>
      <c r="T293" s="51" t="str" cm="1">
        <f t="array" ref="T293">_xlfn.IFS(T292&gt;= 70,"A",T292&gt;=60,"B",T292&gt;=50,"C",T292&gt;=45,"D",T292&gt;=40,"E",T292&lt;40,"F")</f>
        <v>C</v>
      </c>
      <c r="U293" s="51" t="str" cm="1">
        <f t="array" ref="U293">_xlfn.IFS(U292&gt;= 70,"A",U292&gt;=60,"B",U292&gt;=50,"C",U292&gt;=45,"D",U292&gt;=40,"E",U292&lt;40,"F")</f>
        <v>C</v>
      </c>
      <c r="V293" s="51" t="str" cm="1">
        <f t="array" ref="V293">_xlfn.IFS(V292&gt;= 70,"A",V292&gt;=60,"B",V292&gt;=50,"C",V292&gt;=45,"D",V292&gt;=40,"E",V292&lt;40,"F")</f>
        <v>C</v>
      </c>
      <c r="W293" s="50" t="str" cm="1">
        <f t="array" ref="W293">_xlfn.IFS(W292&gt;= 70,"A",W292&gt;=60,"B",W292&gt;=50,"C",W292&gt;=45,"D",W292&gt;=40,"E",W292&lt;40,"F")</f>
        <v>C</v>
      </c>
      <c r="X293" s="7"/>
      <c r="Y293" s="7"/>
      <c r="Z293" s="7"/>
      <c r="AA293" s="7"/>
      <c r="AB293" s="7"/>
      <c r="AC293" s="7"/>
      <c r="AD293" s="7"/>
      <c r="AE293" s="7"/>
      <c r="AF293" s="7"/>
      <c r="AM293" s="56">
        <f t="shared" ref="AM293" si="569">SUMIFS($I$4:$W$4,I292:W292,"&gt;0")</f>
        <v>23</v>
      </c>
      <c r="AN293" s="47">
        <f t="shared" ref="AN293" si="570">(SUMIFS($I$4:$W$4,I292:W292,"&gt;0")-SUMIFS($I$4:$W$4,I293:W293,"F"))</f>
        <v>23</v>
      </c>
      <c r="AO293" s="56">
        <f t="shared" ref="AO293" si="571">SUMIFS($I$4:$W$4,I293:W293,"F")</f>
        <v>0</v>
      </c>
      <c r="AP293" s="76"/>
      <c r="AQ293" s="74"/>
      <c r="AR293" s="71"/>
    </row>
    <row r="294" spans="1:44" ht="15" thickTop="1" x14ac:dyDescent="0.3">
      <c r="A294" s="68">
        <v>145</v>
      </c>
      <c r="B294" s="70"/>
      <c r="C294" s="75"/>
      <c r="D294" s="84"/>
      <c r="E294" s="84"/>
      <c r="F294" s="84"/>
      <c r="G294" s="84"/>
      <c r="H294" s="85"/>
      <c r="I294" s="49">
        <v>56</v>
      </c>
      <c r="J294" s="49">
        <v>46</v>
      </c>
      <c r="K294" s="49">
        <v>47</v>
      </c>
      <c r="L294" s="49">
        <v>48</v>
      </c>
      <c r="M294" s="49">
        <v>49</v>
      </c>
      <c r="N294" s="49">
        <v>50</v>
      </c>
      <c r="O294" s="49">
        <v>51</v>
      </c>
      <c r="P294" s="49">
        <v>52</v>
      </c>
      <c r="Q294" s="49">
        <v>53</v>
      </c>
      <c r="R294" s="49">
        <v>54</v>
      </c>
      <c r="S294" s="49">
        <v>55</v>
      </c>
      <c r="T294" s="49">
        <v>56</v>
      </c>
      <c r="U294" s="49">
        <v>57</v>
      </c>
      <c r="V294" s="49">
        <v>58</v>
      </c>
      <c r="W294" s="49">
        <v>59</v>
      </c>
      <c r="X294" s="7"/>
      <c r="Y294" s="7"/>
      <c r="Z294" s="7"/>
      <c r="AA294" s="7"/>
      <c r="AB294" s="7"/>
      <c r="AC294" s="7"/>
      <c r="AD294" s="7"/>
      <c r="AE294" s="7"/>
      <c r="AF294" s="7"/>
      <c r="AM294" s="59"/>
      <c r="AN294" s="46"/>
      <c r="AO294" s="59"/>
      <c r="AP294" s="75" cm="1">
        <f t="array" ref="AP294">SUM(VLOOKUP(I295:W295,GRADEPOINT!$A$2:$B$7,2,0)*$I$4:$W$4)</f>
        <v>63</v>
      </c>
      <c r="AQ294" s="73">
        <f t="shared" ref="AQ294" si="572">ROUND(AP294/AM295,2)</f>
        <v>2.74</v>
      </c>
      <c r="AR294" s="72"/>
    </row>
    <row r="295" spans="1:44" ht="15" thickBot="1" x14ac:dyDescent="0.35">
      <c r="A295" s="69"/>
      <c r="B295" s="71"/>
      <c r="C295" s="86"/>
      <c r="D295" s="87"/>
      <c r="E295" s="87"/>
      <c r="F295" s="87"/>
      <c r="G295" s="87"/>
      <c r="H295" s="88"/>
      <c r="I295" s="51" t="str" cm="1">
        <f t="array" ref="I295">_xlfn.IFS(I294&gt;= 70,"A",I294&gt;=60,"B",I294&gt;=50,"C",I294&gt;=45,"D",I294&gt;=40,"E",I294&lt;40,"F")</f>
        <v>C</v>
      </c>
      <c r="J295" s="51" t="str" cm="1">
        <f t="array" ref="J295">_xlfn.IFS(J294&gt;= 70,"A",J294&gt;=60,"B",J294&gt;=50,"C",J294&gt;=45,"D",J294&gt;=40,"E",J294&lt;40,"F")</f>
        <v>D</v>
      </c>
      <c r="K295" s="51" t="str" cm="1">
        <f t="array" ref="K295">_xlfn.IFS(K294&gt;= 70,"A",K294&gt;=60,"B",K294&gt;=50,"C",K294&gt;=45,"D",K294&gt;=40,"E",K294&lt;40,"F")</f>
        <v>D</v>
      </c>
      <c r="L295" s="50" t="str" cm="1">
        <f t="array" ref="L295">_xlfn.IFS(L294&gt;= 70,"A",L294&gt;=60,"B",L294&gt;=50,"C",L294&gt;=45,"D",L294&gt;=40,"E",L294&lt;40,"F")</f>
        <v>D</v>
      </c>
      <c r="M295" s="51" t="str" cm="1">
        <f t="array" ref="M295">_xlfn.IFS(M294&gt;= 70,"A",M294&gt;=60,"B",M294&gt;=50,"C",M294&gt;=45,"D",M294&gt;=40,"E",M294&lt;40,"F")</f>
        <v>D</v>
      </c>
      <c r="N295" s="51" t="str" cm="1">
        <f t="array" ref="N295">_xlfn.IFS(N294&gt;= 70,"A",N294&gt;=60,"B",N294&gt;=50,"C",N294&gt;=45,"D",N294&gt;=40,"E",N294&lt;40,"F")</f>
        <v>C</v>
      </c>
      <c r="O295" s="51" t="str" cm="1">
        <f t="array" ref="O295">_xlfn.IFS(O294&gt;= 70,"A",O294&gt;=60,"B",O294&gt;=50,"C",O294&gt;=45,"D",O294&gt;=40,"E",O294&lt;40,"F")</f>
        <v>C</v>
      </c>
      <c r="P295" s="51" t="str" cm="1">
        <f t="array" ref="P295">_xlfn.IFS(P294&gt;= 70,"A",P294&gt;=60,"B",P294&gt;=50,"C",P294&gt;=45,"D",P294&gt;=40,"E",P294&lt;40,"F")</f>
        <v>C</v>
      </c>
      <c r="Q295" s="51" t="str" cm="1">
        <f t="array" ref="Q295">_xlfn.IFS(Q294&gt;= 70,"A",Q294&gt;=60,"B",Q294&gt;=50,"C",Q294&gt;=45,"D",Q294&gt;=40,"E",Q294&lt;40,"F")</f>
        <v>C</v>
      </c>
      <c r="R295" s="51" t="str" cm="1">
        <f t="array" ref="R295">_xlfn.IFS(R294&gt;= 70,"A",R294&gt;=60,"B",R294&gt;=50,"C",R294&gt;=45,"D",R294&gt;=40,"E",R294&lt;40,"F")</f>
        <v>C</v>
      </c>
      <c r="S295" s="51" t="str" cm="1">
        <f t="array" ref="S295">_xlfn.IFS(S294&gt;= 70,"A",S294&gt;=60,"B",S294&gt;=50,"C",S294&gt;=45,"D",S294&gt;=40,"E",S294&lt;40,"F")</f>
        <v>C</v>
      </c>
      <c r="T295" s="51" t="str" cm="1">
        <f t="array" ref="T295">_xlfn.IFS(T294&gt;= 70,"A",T294&gt;=60,"B",T294&gt;=50,"C",T294&gt;=45,"D",T294&gt;=40,"E",T294&lt;40,"F")</f>
        <v>C</v>
      </c>
      <c r="U295" s="51" t="str" cm="1">
        <f t="array" ref="U295">_xlfn.IFS(U294&gt;= 70,"A",U294&gt;=60,"B",U294&gt;=50,"C",U294&gt;=45,"D",U294&gt;=40,"E",U294&lt;40,"F")</f>
        <v>C</v>
      </c>
      <c r="V295" s="51" t="str" cm="1">
        <f t="array" ref="V295">_xlfn.IFS(V294&gt;= 70,"A",V294&gt;=60,"B",V294&gt;=50,"C",V294&gt;=45,"D",V294&gt;=40,"E",V294&lt;40,"F")</f>
        <v>C</v>
      </c>
      <c r="W295" s="50" t="str" cm="1">
        <f t="array" ref="W295">_xlfn.IFS(W294&gt;= 70,"A",W294&gt;=60,"B",W294&gt;=50,"C",W294&gt;=45,"D",W294&gt;=40,"E",W294&lt;40,"F")</f>
        <v>C</v>
      </c>
      <c r="X295" s="7"/>
      <c r="Y295" s="7"/>
      <c r="Z295" s="7"/>
      <c r="AA295" s="7"/>
      <c r="AB295" s="7"/>
      <c r="AC295" s="7"/>
      <c r="AD295" s="7"/>
      <c r="AE295" s="7"/>
      <c r="AF295" s="7"/>
      <c r="AM295" s="56">
        <f t="shared" ref="AM295" si="573">SUMIFS($I$4:$W$4,I294:W294,"&gt;0")</f>
        <v>23</v>
      </c>
      <c r="AN295" s="47">
        <f t="shared" ref="AN295" si="574">(SUMIFS($I$4:$W$4,I294:W294,"&gt;0")-SUMIFS($I$4:$W$4,I295:W295,"F"))</f>
        <v>23</v>
      </c>
      <c r="AO295" s="56">
        <f t="shared" ref="AO295" si="575">SUMIFS($I$4:$W$4,I295:W295,"F")</f>
        <v>0</v>
      </c>
      <c r="AP295" s="76"/>
      <c r="AQ295" s="74"/>
      <c r="AR295" s="71"/>
    </row>
    <row r="296" spans="1:44" ht="15" thickTop="1" x14ac:dyDescent="0.3">
      <c r="A296" s="68">
        <v>146</v>
      </c>
      <c r="B296" s="70"/>
      <c r="C296" s="75"/>
      <c r="D296" s="84"/>
      <c r="E296" s="84"/>
      <c r="F296" s="84"/>
      <c r="G296" s="84"/>
      <c r="H296" s="85"/>
      <c r="I296" s="49">
        <v>56</v>
      </c>
      <c r="J296" s="49">
        <v>46</v>
      </c>
      <c r="K296" s="49">
        <v>47</v>
      </c>
      <c r="L296" s="49">
        <v>48</v>
      </c>
      <c r="M296" s="49">
        <v>49</v>
      </c>
      <c r="N296" s="49">
        <v>50</v>
      </c>
      <c r="O296" s="49">
        <v>51</v>
      </c>
      <c r="P296" s="49">
        <v>52</v>
      </c>
      <c r="Q296" s="49">
        <v>53</v>
      </c>
      <c r="R296" s="49">
        <v>54</v>
      </c>
      <c r="S296" s="49">
        <v>55</v>
      </c>
      <c r="T296" s="49">
        <v>56</v>
      </c>
      <c r="U296" s="49">
        <v>57</v>
      </c>
      <c r="V296" s="49">
        <v>58</v>
      </c>
      <c r="W296" s="49">
        <v>59</v>
      </c>
      <c r="X296" s="7"/>
      <c r="Y296" s="7"/>
      <c r="Z296" s="7"/>
      <c r="AA296" s="7"/>
      <c r="AB296" s="7"/>
      <c r="AC296" s="7"/>
      <c r="AD296" s="7"/>
      <c r="AE296" s="7"/>
      <c r="AF296" s="7"/>
      <c r="AM296" s="59"/>
      <c r="AN296" s="46"/>
      <c r="AO296" s="59"/>
      <c r="AP296" s="75" cm="1">
        <f t="array" ref="AP296">SUM(VLOOKUP(I297:W297,GRADEPOINT!$A$2:$B$7,2,0)*$I$4:$W$4)</f>
        <v>63</v>
      </c>
      <c r="AQ296" s="73">
        <f t="shared" ref="AQ296" si="576">ROUND(AP296/AM297,2)</f>
        <v>2.74</v>
      </c>
      <c r="AR296" s="72"/>
    </row>
    <row r="297" spans="1:44" ht="15" thickBot="1" x14ac:dyDescent="0.35">
      <c r="A297" s="69"/>
      <c r="B297" s="71"/>
      <c r="C297" s="86"/>
      <c r="D297" s="87"/>
      <c r="E297" s="87"/>
      <c r="F297" s="87"/>
      <c r="G297" s="87"/>
      <c r="H297" s="88"/>
      <c r="I297" s="51" t="str" cm="1">
        <f t="array" ref="I297">_xlfn.IFS(I296&gt;= 70,"A",I296&gt;=60,"B",I296&gt;=50,"C",I296&gt;=45,"D",I296&gt;=40,"E",I296&lt;40,"F")</f>
        <v>C</v>
      </c>
      <c r="J297" s="51" t="str" cm="1">
        <f t="array" ref="J297">_xlfn.IFS(J296&gt;= 70,"A",J296&gt;=60,"B",J296&gt;=50,"C",J296&gt;=45,"D",J296&gt;=40,"E",J296&lt;40,"F")</f>
        <v>D</v>
      </c>
      <c r="K297" s="51" t="str" cm="1">
        <f t="array" ref="K297">_xlfn.IFS(K296&gt;= 70,"A",K296&gt;=60,"B",K296&gt;=50,"C",K296&gt;=45,"D",K296&gt;=40,"E",K296&lt;40,"F")</f>
        <v>D</v>
      </c>
      <c r="L297" s="50" t="str" cm="1">
        <f t="array" ref="L297">_xlfn.IFS(L296&gt;= 70,"A",L296&gt;=60,"B",L296&gt;=50,"C",L296&gt;=45,"D",L296&gt;=40,"E",L296&lt;40,"F")</f>
        <v>D</v>
      </c>
      <c r="M297" s="51" t="str" cm="1">
        <f t="array" ref="M297">_xlfn.IFS(M296&gt;= 70,"A",M296&gt;=60,"B",M296&gt;=50,"C",M296&gt;=45,"D",M296&gt;=40,"E",M296&lt;40,"F")</f>
        <v>D</v>
      </c>
      <c r="N297" s="51" t="str" cm="1">
        <f t="array" ref="N297">_xlfn.IFS(N296&gt;= 70,"A",N296&gt;=60,"B",N296&gt;=50,"C",N296&gt;=45,"D",N296&gt;=40,"E",N296&lt;40,"F")</f>
        <v>C</v>
      </c>
      <c r="O297" s="51" t="str" cm="1">
        <f t="array" ref="O297">_xlfn.IFS(O296&gt;= 70,"A",O296&gt;=60,"B",O296&gt;=50,"C",O296&gt;=45,"D",O296&gt;=40,"E",O296&lt;40,"F")</f>
        <v>C</v>
      </c>
      <c r="P297" s="51" t="str" cm="1">
        <f t="array" ref="P297">_xlfn.IFS(P296&gt;= 70,"A",P296&gt;=60,"B",P296&gt;=50,"C",P296&gt;=45,"D",P296&gt;=40,"E",P296&lt;40,"F")</f>
        <v>C</v>
      </c>
      <c r="Q297" s="51" t="str" cm="1">
        <f t="array" ref="Q297">_xlfn.IFS(Q296&gt;= 70,"A",Q296&gt;=60,"B",Q296&gt;=50,"C",Q296&gt;=45,"D",Q296&gt;=40,"E",Q296&lt;40,"F")</f>
        <v>C</v>
      </c>
      <c r="R297" s="51" t="str" cm="1">
        <f t="array" ref="R297">_xlfn.IFS(R296&gt;= 70,"A",R296&gt;=60,"B",R296&gt;=50,"C",R296&gt;=45,"D",R296&gt;=40,"E",R296&lt;40,"F")</f>
        <v>C</v>
      </c>
      <c r="S297" s="51" t="str" cm="1">
        <f t="array" ref="S297">_xlfn.IFS(S296&gt;= 70,"A",S296&gt;=60,"B",S296&gt;=50,"C",S296&gt;=45,"D",S296&gt;=40,"E",S296&lt;40,"F")</f>
        <v>C</v>
      </c>
      <c r="T297" s="51" t="str" cm="1">
        <f t="array" ref="T297">_xlfn.IFS(T296&gt;= 70,"A",T296&gt;=60,"B",T296&gt;=50,"C",T296&gt;=45,"D",T296&gt;=40,"E",T296&lt;40,"F")</f>
        <v>C</v>
      </c>
      <c r="U297" s="51" t="str" cm="1">
        <f t="array" ref="U297">_xlfn.IFS(U296&gt;= 70,"A",U296&gt;=60,"B",U296&gt;=50,"C",U296&gt;=45,"D",U296&gt;=40,"E",U296&lt;40,"F")</f>
        <v>C</v>
      </c>
      <c r="V297" s="51" t="str" cm="1">
        <f t="array" ref="V297">_xlfn.IFS(V296&gt;= 70,"A",V296&gt;=60,"B",V296&gt;=50,"C",V296&gt;=45,"D",V296&gt;=40,"E",V296&lt;40,"F")</f>
        <v>C</v>
      </c>
      <c r="W297" s="50" t="str" cm="1">
        <f t="array" ref="W297">_xlfn.IFS(W296&gt;= 70,"A",W296&gt;=60,"B",W296&gt;=50,"C",W296&gt;=45,"D",W296&gt;=40,"E",W296&lt;40,"F")</f>
        <v>C</v>
      </c>
      <c r="X297" s="7"/>
      <c r="Y297" s="7"/>
      <c r="Z297" s="7"/>
      <c r="AA297" s="7"/>
      <c r="AB297" s="7"/>
      <c r="AC297" s="7"/>
      <c r="AD297" s="7"/>
      <c r="AE297" s="7"/>
      <c r="AF297" s="7"/>
      <c r="AM297" s="56">
        <f t="shared" ref="AM297" si="577">SUMIFS($I$4:$W$4,I296:W296,"&gt;0")</f>
        <v>23</v>
      </c>
      <c r="AN297" s="47">
        <f t="shared" ref="AN297" si="578">(SUMIFS($I$4:$W$4,I296:W296,"&gt;0")-SUMIFS($I$4:$W$4,I297:W297,"F"))</f>
        <v>23</v>
      </c>
      <c r="AO297" s="56">
        <f t="shared" ref="AO297" si="579">SUMIFS($I$4:$W$4,I297:W297,"F")</f>
        <v>0</v>
      </c>
      <c r="AP297" s="76"/>
      <c r="AQ297" s="74"/>
      <c r="AR297" s="71"/>
    </row>
    <row r="298" spans="1:44" ht="15" thickTop="1" x14ac:dyDescent="0.3">
      <c r="A298" s="68">
        <v>147</v>
      </c>
      <c r="B298" s="70"/>
      <c r="C298" s="75"/>
      <c r="D298" s="84"/>
      <c r="E298" s="84"/>
      <c r="F298" s="84"/>
      <c r="G298" s="84"/>
      <c r="H298" s="85"/>
      <c r="I298" s="49">
        <v>56</v>
      </c>
      <c r="J298" s="49">
        <v>46</v>
      </c>
      <c r="K298" s="49">
        <v>47</v>
      </c>
      <c r="L298" s="49">
        <v>48</v>
      </c>
      <c r="M298" s="49">
        <v>49</v>
      </c>
      <c r="N298" s="49">
        <v>50</v>
      </c>
      <c r="O298" s="49">
        <v>51</v>
      </c>
      <c r="P298" s="49">
        <v>52</v>
      </c>
      <c r="Q298" s="49">
        <v>53</v>
      </c>
      <c r="R298" s="49">
        <v>54</v>
      </c>
      <c r="S298" s="49">
        <v>55</v>
      </c>
      <c r="T298" s="49">
        <v>56</v>
      </c>
      <c r="U298" s="49">
        <v>57</v>
      </c>
      <c r="V298" s="49">
        <v>58</v>
      </c>
      <c r="W298" s="49">
        <v>59</v>
      </c>
      <c r="X298" s="7"/>
      <c r="Y298" s="7"/>
      <c r="Z298" s="7"/>
      <c r="AA298" s="7"/>
      <c r="AB298" s="7"/>
      <c r="AC298" s="7"/>
      <c r="AD298" s="7"/>
      <c r="AE298" s="7"/>
      <c r="AF298" s="7"/>
      <c r="AM298" s="59"/>
      <c r="AN298" s="46"/>
      <c r="AO298" s="59"/>
      <c r="AP298" s="75" cm="1">
        <f t="array" ref="AP298">SUM(VLOOKUP(I299:W299,GRADEPOINT!$A$2:$B$7,2,0)*$I$4:$W$4)</f>
        <v>63</v>
      </c>
      <c r="AQ298" s="73">
        <f t="shared" ref="AQ298" si="580">ROUND(AP298/AM299,2)</f>
        <v>2.74</v>
      </c>
      <c r="AR298" s="72"/>
    </row>
    <row r="299" spans="1:44" ht="15" thickBot="1" x14ac:dyDescent="0.35">
      <c r="A299" s="69"/>
      <c r="B299" s="71"/>
      <c r="C299" s="86"/>
      <c r="D299" s="87"/>
      <c r="E299" s="87"/>
      <c r="F299" s="87"/>
      <c r="G299" s="87"/>
      <c r="H299" s="88"/>
      <c r="I299" s="51" t="str" cm="1">
        <f t="array" ref="I299">_xlfn.IFS(I298&gt;= 70,"A",I298&gt;=60,"B",I298&gt;=50,"C",I298&gt;=45,"D",I298&gt;=40,"E",I298&lt;40,"F")</f>
        <v>C</v>
      </c>
      <c r="J299" s="51" t="str" cm="1">
        <f t="array" ref="J299">_xlfn.IFS(J298&gt;= 70,"A",J298&gt;=60,"B",J298&gt;=50,"C",J298&gt;=45,"D",J298&gt;=40,"E",J298&lt;40,"F")</f>
        <v>D</v>
      </c>
      <c r="K299" s="51" t="str" cm="1">
        <f t="array" ref="K299">_xlfn.IFS(K298&gt;= 70,"A",K298&gt;=60,"B",K298&gt;=50,"C",K298&gt;=45,"D",K298&gt;=40,"E",K298&lt;40,"F")</f>
        <v>D</v>
      </c>
      <c r="L299" s="50" t="str" cm="1">
        <f t="array" ref="L299">_xlfn.IFS(L298&gt;= 70,"A",L298&gt;=60,"B",L298&gt;=50,"C",L298&gt;=45,"D",L298&gt;=40,"E",L298&lt;40,"F")</f>
        <v>D</v>
      </c>
      <c r="M299" s="51" t="str" cm="1">
        <f t="array" ref="M299">_xlfn.IFS(M298&gt;= 70,"A",M298&gt;=60,"B",M298&gt;=50,"C",M298&gt;=45,"D",M298&gt;=40,"E",M298&lt;40,"F")</f>
        <v>D</v>
      </c>
      <c r="N299" s="51" t="str" cm="1">
        <f t="array" ref="N299">_xlfn.IFS(N298&gt;= 70,"A",N298&gt;=60,"B",N298&gt;=50,"C",N298&gt;=45,"D",N298&gt;=40,"E",N298&lt;40,"F")</f>
        <v>C</v>
      </c>
      <c r="O299" s="51" t="str" cm="1">
        <f t="array" ref="O299">_xlfn.IFS(O298&gt;= 70,"A",O298&gt;=60,"B",O298&gt;=50,"C",O298&gt;=45,"D",O298&gt;=40,"E",O298&lt;40,"F")</f>
        <v>C</v>
      </c>
      <c r="P299" s="51" t="str" cm="1">
        <f t="array" ref="P299">_xlfn.IFS(P298&gt;= 70,"A",P298&gt;=60,"B",P298&gt;=50,"C",P298&gt;=45,"D",P298&gt;=40,"E",P298&lt;40,"F")</f>
        <v>C</v>
      </c>
      <c r="Q299" s="51" t="str" cm="1">
        <f t="array" ref="Q299">_xlfn.IFS(Q298&gt;= 70,"A",Q298&gt;=60,"B",Q298&gt;=50,"C",Q298&gt;=45,"D",Q298&gt;=40,"E",Q298&lt;40,"F")</f>
        <v>C</v>
      </c>
      <c r="R299" s="51" t="str" cm="1">
        <f t="array" ref="R299">_xlfn.IFS(R298&gt;= 70,"A",R298&gt;=60,"B",R298&gt;=50,"C",R298&gt;=45,"D",R298&gt;=40,"E",R298&lt;40,"F")</f>
        <v>C</v>
      </c>
      <c r="S299" s="51" t="str" cm="1">
        <f t="array" ref="S299">_xlfn.IFS(S298&gt;= 70,"A",S298&gt;=60,"B",S298&gt;=50,"C",S298&gt;=45,"D",S298&gt;=40,"E",S298&lt;40,"F")</f>
        <v>C</v>
      </c>
      <c r="T299" s="51" t="str" cm="1">
        <f t="array" ref="T299">_xlfn.IFS(T298&gt;= 70,"A",T298&gt;=60,"B",T298&gt;=50,"C",T298&gt;=45,"D",T298&gt;=40,"E",T298&lt;40,"F")</f>
        <v>C</v>
      </c>
      <c r="U299" s="51" t="str" cm="1">
        <f t="array" ref="U299">_xlfn.IFS(U298&gt;= 70,"A",U298&gt;=60,"B",U298&gt;=50,"C",U298&gt;=45,"D",U298&gt;=40,"E",U298&lt;40,"F")</f>
        <v>C</v>
      </c>
      <c r="V299" s="51" t="str" cm="1">
        <f t="array" ref="V299">_xlfn.IFS(V298&gt;= 70,"A",V298&gt;=60,"B",V298&gt;=50,"C",V298&gt;=45,"D",V298&gt;=40,"E",V298&lt;40,"F")</f>
        <v>C</v>
      </c>
      <c r="W299" s="50" t="str" cm="1">
        <f t="array" ref="W299">_xlfn.IFS(W298&gt;= 70,"A",W298&gt;=60,"B",W298&gt;=50,"C",W298&gt;=45,"D",W298&gt;=40,"E",W298&lt;40,"F")</f>
        <v>C</v>
      </c>
      <c r="X299" s="7"/>
      <c r="Y299" s="7"/>
      <c r="Z299" s="7"/>
      <c r="AA299" s="7"/>
      <c r="AB299" s="7"/>
      <c r="AC299" s="7"/>
      <c r="AD299" s="7"/>
      <c r="AE299" s="7"/>
      <c r="AF299" s="7"/>
      <c r="AM299" s="56">
        <f t="shared" ref="AM299" si="581">SUMIFS($I$4:$W$4,I298:W298,"&gt;0")</f>
        <v>23</v>
      </c>
      <c r="AN299" s="47">
        <f t="shared" ref="AN299" si="582">(SUMIFS($I$4:$W$4,I298:W298,"&gt;0")-SUMIFS($I$4:$W$4,I299:W299,"F"))</f>
        <v>23</v>
      </c>
      <c r="AO299" s="56">
        <f t="shared" ref="AO299" si="583">SUMIFS($I$4:$W$4,I299:W299,"F")</f>
        <v>0</v>
      </c>
      <c r="AP299" s="76"/>
      <c r="AQ299" s="74"/>
      <c r="AR299" s="71"/>
    </row>
    <row r="300" spans="1:44" ht="15" thickTop="1" x14ac:dyDescent="0.3">
      <c r="A300" s="68">
        <v>148</v>
      </c>
      <c r="B300" s="70"/>
      <c r="C300" s="75"/>
      <c r="D300" s="84"/>
      <c r="E300" s="84"/>
      <c r="F300" s="84"/>
      <c r="G300" s="84"/>
      <c r="H300" s="85"/>
      <c r="I300" s="49">
        <v>56</v>
      </c>
      <c r="J300" s="49">
        <v>46</v>
      </c>
      <c r="K300" s="49">
        <v>47</v>
      </c>
      <c r="L300" s="49">
        <v>48</v>
      </c>
      <c r="M300" s="49">
        <v>49</v>
      </c>
      <c r="N300" s="49">
        <v>50</v>
      </c>
      <c r="O300" s="49">
        <v>51</v>
      </c>
      <c r="P300" s="49">
        <v>52</v>
      </c>
      <c r="Q300" s="49">
        <v>53</v>
      </c>
      <c r="R300" s="49">
        <v>54</v>
      </c>
      <c r="S300" s="49">
        <v>55</v>
      </c>
      <c r="T300" s="49">
        <v>56</v>
      </c>
      <c r="U300" s="49">
        <v>57</v>
      </c>
      <c r="V300" s="49">
        <v>58</v>
      </c>
      <c r="W300" s="49">
        <v>59</v>
      </c>
      <c r="X300" s="7"/>
      <c r="Y300" s="7"/>
      <c r="Z300" s="7"/>
      <c r="AA300" s="7"/>
      <c r="AB300" s="7"/>
      <c r="AC300" s="7"/>
      <c r="AD300" s="7"/>
      <c r="AE300" s="7"/>
      <c r="AF300" s="7"/>
      <c r="AM300" s="59"/>
      <c r="AN300" s="46"/>
      <c r="AO300" s="59"/>
      <c r="AP300" s="75" cm="1">
        <f t="array" ref="AP300">SUM(VLOOKUP(I301:W301,GRADEPOINT!$A$2:$B$7,2,0)*$I$4:$W$4)</f>
        <v>63</v>
      </c>
      <c r="AQ300" s="73">
        <f t="shared" ref="AQ300" si="584">ROUND(AP300/AM301,2)</f>
        <v>2.74</v>
      </c>
      <c r="AR300" s="72"/>
    </row>
    <row r="301" spans="1:44" ht="15" thickBot="1" x14ac:dyDescent="0.35">
      <c r="A301" s="69"/>
      <c r="B301" s="71"/>
      <c r="C301" s="86"/>
      <c r="D301" s="87"/>
      <c r="E301" s="87"/>
      <c r="F301" s="87"/>
      <c r="G301" s="87"/>
      <c r="H301" s="88"/>
      <c r="I301" s="51" t="str" cm="1">
        <f t="array" ref="I301">_xlfn.IFS(I300&gt;= 70,"A",I300&gt;=60,"B",I300&gt;=50,"C",I300&gt;=45,"D",I300&gt;=40,"E",I300&lt;40,"F")</f>
        <v>C</v>
      </c>
      <c r="J301" s="51" t="str" cm="1">
        <f t="array" ref="J301">_xlfn.IFS(J300&gt;= 70,"A",J300&gt;=60,"B",J300&gt;=50,"C",J300&gt;=45,"D",J300&gt;=40,"E",J300&lt;40,"F")</f>
        <v>D</v>
      </c>
      <c r="K301" s="51" t="str" cm="1">
        <f t="array" ref="K301">_xlfn.IFS(K300&gt;= 70,"A",K300&gt;=60,"B",K300&gt;=50,"C",K300&gt;=45,"D",K300&gt;=40,"E",K300&lt;40,"F")</f>
        <v>D</v>
      </c>
      <c r="L301" s="50" t="str" cm="1">
        <f t="array" ref="L301">_xlfn.IFS(L300&gt;= 70,"A",L300&gt;=60,"B",L300&gt;=50,"C",L300&gt;=45,"D",L300&gt;=40,"E",L300&lt;40,"F")</f>
        <v>D</v>
      </c>
      <c r="M301" s="51" t="str" cm="1">
        <f t="array" ref="M301">_xlfn.IFS(M300&gt;= 70,"A",M300&gt;=60,"B",M300&gt;=50,"C",M300&gt;=45,"D",M300&gt;=40,"E",M300&lt;40,"F")</f>
        <v>D</v>
      </c>
      <c r="N301" s="51" t="str" cm="1">
        <f t="array" ref="N301">_xlfn.IFS(N300&gt;= 70,"A",N300&gt;=60,"B",N300&gt;=50,"C",N300&gt;=45,"D",N300&gt;=40,"E",N300&lt;40,"F")</f>
        <v>C</v>
      </c>
      <c r="O301" s="51" t="str" cm="1">
        <f t="array" ref="O301">_xlfn.IFS(O300&gt;= 70,"A",O300&gt;=60,"B",O300&gt;=50,"C",O300&gt;=45,"D",O300&gt;=40,"E",O300&lt;40,"F")</f>
        <v>C</v>
      </c>
      <c r="P301" s="51" t="str" cm="1">
        <f t="array" ref="P301">_xlfn.IFS(P300&gt;= 70,"A",P300&gt;=60,"B",P300&gt;=50,"C",P300&gt;=45,"D",P300&gt;=40,"E",P300&lt;40,"F")</f>
        <v>C</v>
      </c>
      <c r="Q301" s="51" t="str" cm="1">
        <f t="array" ref="Q301">_xlfn.IFS(Q300&gt;= 70,"A",Q300&gt;=60,"B",Q300&gt;=50,"C",Q300&gt;=45,"D",Q300&gt;=40,"E",Q300&lt;40,"F")</f>
        <v>C</v>
      </c>
      <c r="R301" s="51" t="str" cm="1">
        <f t="array" ref="R301">_xlfn.IFS(R300&gt;= 70,"A",R300&gt;=60,"B",R300&gt;=50,"C",R300&gt;=45,"D",R300&gt;=40,"E",R300&lt;40,"F")</f>
        <v>C</v>
      </c>
      <c r="S301" s="51" t="str" cm="1">
        <f t="array" ref="S301">_xlfn.IFS(S300&gt;= 70,"A",S300&gt;=60,"B",S300&gt;=50,"C",S300&gt;=45,"D",S300&gt;=40,"E",S300&lt;40,"F")</f>
        <v>C</v>
      </c>
      <c r="T301" s="51" t="str" cm="1">
        <f t="array" ref="T301">_xlfn.IFS(T300&gt;= 70,"A",T300&gt;=60,"B",T300&gt;=50,"C",T300&gt;=45,"D",T300&gt;=40,"E",T300&lt;40,"F")</f>
        <v>C</v>
      </c>
      <c r="U301" s="51" t="str" cm="1">
        <f t="array" ref="U301">_xlfn.IFS(U300&gt;= 70,"A",U300&gt;=60,"B",U300&gt;=50,"C",U300&gt;=45,"D",U300&gt;=40,"E",U300&lt;40,"F")</f>
        <v>C</v>
      </c>
      <c r="V301" s="51" t="str" cm="1">
        <f t="array" ref="V301">_xlfn.IFS(V300&gt;= 70,"A",V300&gt;=60,"B",V300&gt;=50,"C",V300&gt;=45,"D",V300&gt;=40,"E",V300&lt;40,"F")</f>
        <v>C</v>
      </c>
      <c r="W301" s="50" t="str" cm="1">
        <f t="array" ref="W301">_xlfn.IFS(W300&gt;= 70,"A",W300&gt;=60,"B",W300&gt;=50,"C",W300&gt;=45,"D",W300&gt;=40,"E",W300&lt;40,"F")</f>
        <v>C</v>
      </c>
      <c r="X301" s="7"/>
      <c r="Y301" s="7"/>
      <c r="Z301" s="7"/>
      <c r="AA301" s="7"/>
      <c r="AB301" s="7"/>
      <c r="AC301" s="7"/>
      <c r="AD301" s="7"/>
      <c r="AE301" s="7"/>
      <c r="AF301" s="7"/>
      <c r="AM301" s="56">
        <f t="shared" ref="AM301" si="585">SUMIFS($I$4:$W$4,I300:W300,"&gt;0")</f>
        <v>23</v>
      </c>
      <c r="AN301" s="47">
        <f t="shared" ref="AN301" si="586">(SUMIFS($I$4:$W$4,I300:W300,"&gt;0")-SUMIFS($I$4:$W$4,I301:W301,"F"))</f>
        <v>23</v>
      </c>
      <c r="AO301" s="56">
        <f t="shared" ref="AO301" si="587">SUMIFS($I$4:$W$4,I301:W301,"F")</f>
        <v>0</v>
      </c>
      <c r="AP301" s="76"/>
      <c r="AQ301" s="74"/>
      <c r="AR301" s="71"/>
    </row>
    <row r="302" spans="1:44" ht="15" thickTop="1" x14ac:dyDescent="0.3">
      <c r="A302" s="68">
        <v>149</v>
      </c>
      <c r="B302" s="70"/>
      <c r="C302" s="75"/>
      <c r="D302" s="84"/>
      <c r="E302" s="84"/>
      <c r="F302" s="84"/>
      <c r="G302" s="84"/>
      <c r="H302" s="85"/>
      <c r="I302" s="49">
        <v>56</v>
      </c>
      <c r="J302" s="49">
        <v>46</v>
      </c>
      <c r="K302" s="49">
        <v>47</v>
      </c>
      <c r="L302" s="49">
        <v>48</v>
      </c>
      <c r="M302" s="49">
        <v>49</v>
      </c>
      <c r="N302" s="49">
        <v>50</v>
      </c>
      <c r="O302" s="49">
        <v>51</v>
      </c>
      <c r="P302" s="49">
        <v>52</v>
      </c>
      <c r="Q302" s="49">
        <v>53</v>
      </c>
      <c r="R302" s="49">
        <v>54</v>
      </c>
      <c r="S302" s="49">
        <v>55</v>
      </c>
      <c r="T302" s="49">
        <v>56</v>
      </c>
      <c r="U302" s="49">
        <v>57</v>
      </c>
      <c r="V302" s="49">
        <v>58</v>
      </c>
      <c r="W302" s="49">
        <v>59</v>
      </c>
      <c r="X302" s="7"/>
      <c r="Y302" s="7"/>
      <c r="Z302" s="7"/>
      <c r="AA302" s="7"/>
      <c r="AB302" s="7"/>
      <c r="AC302" s="7"/>
      <c r="AD302" s="7"/>
      <c r="AE302" s="7"/>
      <c r="AF302" s="7"/>
      <c r="AM302" s="59"/>
      <c r="AN302" s="46"/>
      <c r="AO302" s="59"/>
      <c r="AP302" s="75" cm="1">
        <f t="array" ref="AP302">SUM(VLOOKUP(I303:W303,GRADEPOINT!$A$2:$B$7,2,0)*$I$4:$W$4)</f>
        <v>63</v>
      </c>
      <c r="AQ302" s="73">
        <f t="shared" ref="AQ302" si="588">ROUND(AP302/AM303,2)</f>
        <v>2.74</v>
      </c>
      <c r="AR302" s="72"/>
    </row>
    <row r="303" spans="1:44" ht="15" thickBot="1" x14ac:dyDescent="0.35">
      <c r="A303" s="69"/>
      <c r="B303" s="71"/>
      <c r="C303" s="86"/>
      <c r="D303" s="87"/>
      <c r="E303" s="87"/>
      <c r="F303" s="87"/>
      <c r="G303" s="87"/>
      <c r="H303" s="88"/>
      <c r="I303" s="51" t="str" cm="1">
        <f t="array" ref="I303">_xlfn.IFS(I302&gt;= 70,"A",I302&gt;=60,"B",I302&gt;=50,"C",I302&gt;=45,"D",I302&gt;=40,"E",I302&lt;40,"F")</f>
        <v>C</v>
      </c>
      <c r="J303" s="51" t="str" cm="1">
        <f t="array" ref="J303">_xlfn.IFS(J302&gt;= 70,"A",J302&gt;=60,"B",J302&gt;=50,"C",J302&gt;=45,"D",J302&gt;=40,"E",J302&lt;40,"F")</f>
        <v>D</v>
      </c>
      <c r="K303" s="51" t="str" cm="1">
        <f t="array" ref="K303">_xlfn.IFS(K302&gt;= 70,"A",K302&gt;=60,"B",K302&gt;=50,"C",K302&gt;=45,"D",K302&gt;=40,"E",K302&lt;40,"F")</f>
        <v>D</v>
      </c>
      <c r="L303" s="50" t="str" cm="1">
        <f t="array" ref="L303">_xlfn.IFS(L302&gt;= 70,"A",L302&gt;=60,"B",L302&gt;=50,"C",L302&gt;=45,"D",L302&gt;=40,"E",L302&lt;40,"F")</f>
        <v>D</v>
      </c>
      <c r="M303" s="51" t="str" cm="1">
        <f t="array" ref="M303">_xlfn.IFS(M302&gt;= 70,"A",M302&gt;=60,"B",M302&gt;=50,"C",M302&gt;=45,"D",M302&gt;=40,"E",M302&lt;40,"F")</f>
        <v>D</v>
      </c>
      <c r="N303" s="51" t="str" cm="1">
        <f t="array" ref="N303">_xlfn.IFS(N302&gt;= 70,"A",N302&gt;=60,"B",N302&gt;=50,"C",N302&gt;=45,"D",N302&gt;=40,"E",N302&lt;40,"F")</f>
        <v>C</v>
      </c>
      <c r="O303" s="51" t="str" cm="1">
        <f t="array" ref="O303">_xlfn.IFS(O302&gt;= 70,"A",O302&gt;=60,"B",O302&gt;=50,"C",O302&gt;=45,"D",O302&gt;=40,"E",O302&lt;40,"F")</f>
        <v>C</v>
      </c>
      <c r="P303" s="51" t="str" cm="1">
        <f t="array" ref="P303">_xlfn.IFS(P302&gt;= 70,"A",P302&gt;=60,"B",P302&gt;=50,"C",P302&gt;=45,"D",P302&gt;=40,"E",P302&lt;40,"F")</f>
        <v>C</v>
      </c>
      <c r="Q303" s="51" t="str" cm="1">
        <f t="array" ref="Q303">_xlfn.IFS(Q302&gt;= 70,"A",Q302&gt;=60,"B",Q302&gt;=50,"C",Q302&gt;=45,"D",Q302&gt;=40,"E",Q302&lt;40,"F")</f>
        <v>C</v>
      </c>
      <c r="R303" s="51" t="str" cm="1">
        <f t="array" ref="R303">_xlfn.IFS(R302&gt;= 70,"A",R302&gt;=60,"B",R302&gt;=50,"C",R302&gt;=45,"D",R302&gt;=40,"E",R302&lt;40,"F")</f>
        <v>C</v>
      </c>
      <c r="S303" s="51" t="str" cm="1">
        <f t="array" ref="S303">_xlfn.IFS(S302&gt;= 70,"A",S302&gt;=60,"B",S302&gt;=50,"C",S302&gt;=45,"D",S302&gt;=40,"E",S302&lt;40,"F")</f>
        <v>C</v>
      </c>
      <c r="T303" s="51" t="str" cm="1">
        <f t="array" ref="T303">_xlfn.IFS(T302&gt;= 70,"A",T302&gt;=60,"B",T302&gt;=50,"C",T302&gt;=45,"D",T302&gt;=40,"E",T302&lt;40,"F")</f>
        <v>C</v>
      </c>
      <c r="U303" s="51" t="str" cm="1">
        <f t="array" ref="U303">_xlfn.IFS(U302&gt;= 70,"A",U302&gt;=60,"B",U302&gt;=50,"C",U302&gt;=45,"D",U302&gt;=40,"E",U302&lt;40,"F")</f>
        <v>C</v>
      </c>
      <c r="V303" s="51" t="str" cm="1">
        <f t="array" ref="V303">_xlfn.IFS(V302&gt;= 70,"A",V302&gt;=60,"B",V302&gt;=50,"C",V302&gt;=45,"D",V302&gt;=40,"E",V302&lt;40,"F")</f>
        <v>C</v>
      </c>
      <c r="W303" s="50" t="str" cm="1">
        <f t="array" ref="W303">_xlfn.IFS(W302&gt;= 70,"A",W302&gt;=60,"B",W302&gt;=50,"C",W302&gt;=45,"D",W302&gt;=40,"E",W302&lt;40,"F")</f>
        <v>C</v>
      </c>
      <c r="X303" s="7"/>
      <c r="Y303" s="7"/>
      <c r="Z303" s="7"/>
      <c r="AA303" s="7"/>
      <c r="AB303" s="7"/>
      <c r="AC303" s="7"/>
      <c r="AD303" s="7"/>
      <c r="AE303" s="7"/>
      <c r="AF303" s="7"/>
      <c r="AM303" s="56">
        <f t="shared" ref="AM303" si="589">SUMIFS($I$4:$W$4,I302:W302,"&gt;0")</f>
        <v>23</v>
      </c>
      <c r="AN303" s="47">
        <f t="shared" ref="AN303" si="590">(SUMIFS($I$4:$W$4,I302:W302,"&gt;0")-SUMIFS($I$4:$W$4,I303:W303,"F"))</f>
        <v>23</v>
      </c>
      <c r="AO303" s="56">
        <f t="shared" ref="AO303" si="591">SUMIFS($I$4:$W$4,I303:W303,"F")</f>
        <v>0</v>
      </c>
      <c r="AP303" s="76"/>
      <c r="AQ303" s="74"/>
      <c r="AR303" s="71"/>
    </row>
    <row r="304" spans="1:44" ht="15" thickTop="1" x14ac:dyDescent="0.3">
      <c r="A304" s="68">
        <v>150</v>
      </c>
      <c r="B304" s="70"/>
      <c r="C304" s="75"/>
      <c r="D304" s="84"/>
      <c r="E304" s="84"/>
      <c r="F304" s="84"/>
      <c r="G304" s="84"/>
      <c r="H304" s="85"/>
      <c r="I304" s="49">
        <v>56</v>
      </c>
      <c r="J304" s="49">
        <v>46</v>
      </c>
      <c r="K304" s="49">
        <v>47</v>
      </c>
      <c r="L304" s="49">
        <v>48</v>
      </c>
      <c r="M304" s="49">
        <v>49</v>
      </c>
      <c r="N304" s="49">
        <v>50</v>
      </c>
      <c r="O304" s="49">
        <v>51</v>
      </c>
      <c r="P304" s="49">
        <v>52</v>
      </c>
      <c r="Q304" s="49">
        <v>53</v>
      </c>
      <c r="R304" s="49">
        <v>54</v>
      </c>
      <c r="S304" s="49">
        <v>55</v>
      </c>
      <c r="T304" s="49">
        <v>56</v>
      </c>
      <c r="U304" s="49">
        <v>57</v>
      </c>
      <c r="V304" s="49">
        <v>58</v>
      </c>
      <c r="W304" s="49">
        <v>59</v>
      </c>
      <c r="X304" s="7"/>
      <c r="Y304" s="7"/>
      <c r="Z304" s="7"/>
      <c r="AA304" s="7"/>
      <c r="AB304" s="7"/>
      <c r="AC304" s="7"/>
      <c r="AD304" s="7"/>
      <c r="AE304" s="7"/>
      <c r="AF304" s="7"/>
      <c r="AM304" s="59"/>
      <c r="AN304" s="46"/>
      <c r="AO304" s="59"/>
      <c r="AP304" s="75" cm="1">
        <f t="array" ref="AP304">SUM(VLOOKUP(I305:W305,GRADEPOINT!$A$2:$B$7,2,0)*$I$4:$W$4)</f>
        <v>63</v>
      </c>
      <c r="AQ304" s="73">
        <f t="shared" ref="AQ304" si="592">ROUND(AP304/AM305,2)</f>
        <v>2.74</v>
      </c>
      <c r="AR304" s="72"/>
    </row>
    <row r="305" spans="1:44" ht="15" thickBot="1" x14ac:dyDescent="0.35">
      <c r="A305" s="69"/>
      <c r="B305" s="71"/>
      <c r="C305" s="86"/>
      <c r="D305" s="87"/>
      <c r="E305" s="87"/>
      <c r="F305" s="87"/>
      <c r="G305" s="87"/>
      <c r="H305" s="88"/>
      <c r="I305" s="51" t="str" cm="1">
        <f t="array" ref="I305">_xlfn.IFS(I304&gt;= 70,"A",I304&gt;=60,"B",I304&gt;=50,"C",I304&gt;=45,"D",I304&gt;=40,"E",I304&lt;40,"F")</f>
        <v>C</v>
      </c>
      <c r="J305" s="51" t="str" cm="1">
        <f t="array" ref="J305">_xlfn.IFS(J304&gt;= 70,"A",J304&gt;=60,"B",J304&gt;=50,"C",J304&gt;=45,"D",J304&gt;=40,"E",J304&lt;40,"F")</f>
        <v>D</v>
      </c>
      <c r="K305" s="51" t="str" cm="1">
        <f t="array" ref="K305">_xlfn.IFS(K304&gt;= 70,"A",K304&gt;=60,"B",K304&gt;=50,"C",K304&gt;=45,"D",K304&gt;=40,"E",K304&lt;40,"F")</f>
        <v>D</v>
      </c>
      <c r="L305" s="50" t="str" cm="1">
        <f t="array" ref="L305">_xlfn.IFS(L304&gt;= 70,"A",L304&gt;=60,"B",L304&gt;=50,"C",L304&gt;=45,"D",L304&gt;=40,"E",L304&lt;40,"F")</f>
        <v>D</v>
      </c>
      <c r="M305" s="51" t="str" cm="1">
        <f t="array" ref="M305">_xlfn.IFS(M304&gt;= 70,"A",M304&gt;=60,"B",M304&gt;=50,"C",M304&gt;=45,"D",M304&gt;=40,"E",M304&lt;40,"F")</f>
        <v>D</v>
      </c>
      <c r="N305" s="51" t="str" cm="1">
        <f t="array" ref="N305">_xlfn.IFS(N304&gt;= 70,"A",N304&gt;=60,"B",N304&gt;=50,"C",N304&gt;=45,"D",N304&gt;=40,"E",N304&lt;40,"F")</f>
        <v>C</v>
      </c>
      <c r="O305" s="51" t="str" cm="1">
        <f t="array" ref="O305">_xlfn.IFS(O304&gt;= 70,"A",O304&gt;=60,"B",O304&gt;=50,"C",O304&gt;=45,"D",O304&gt;=40,"E",O304&lt;40,"F")</f>
        <v>C</v>
      </c>
      <c r="P305" s="51" t="str" cm="1">
        <f t="array" ref="P305">_xlfn.IFS(P304&gt;= 70,"A",P304&gt;=60,"B",P304&gt;=50,"C",P304&gt;=45,"D",P304&gt;=40,"E",P304&lt;40,"F")</f>
        <v>C</v>
      </c>
      <c r="Q305" s="51" t="str" cm="1">
        <f t="array" ref="Q305">_xlfn.IFS(Q304&gt;= 70,"A",Q304&gt;=60,"B",Q304&gt;=50,"C",Q304&gt;=45,"D",Q304&gt;=40,"E",Q304&lt;40,"F")</f>
        <v>C</v>
      </c>
      <c r="R305" s="51" t="str" cm="1">
        <f t="array" ref="R305">_xlfn.IFS(R304&gt;= 70,"A",R304&gt;=60,"B",R304&gt;=50,"C",R304&gt;=45,"D",R304&gt;=40,"E",R304&lt;40,"F")</f>
        <v>C</v>
      </c>
      <c r="S305" s="51" t="str" cm="1">
        <f t="array" ref="S305">_xlfn.IFS(S304&gt;= 70,"A",S304&gt;=60,"B",S304&gt;=50,"C",S304&gt;=45,"D",S304&gt;=40,"E",S304&lt;40,"F")</f>
        <v>C</v>
      </c>
      <c r="T305" s="51" t="str" cm="1">
        <f t="array" ref="T305">_xlfn.IFS(T304&gt;= 70,"A",T304&gt;=60,"B",T304&gt;=50,"C",T304&gt;=45,"D",T304&gt;=40,"E",T304&lt;40,"F")</f>
        <v>C</v>
      </c>
      <c r="U305" s="51" t="str" cm="1">
        <f t="array" ref="U305">_xlfn.IFS(U304&gt;= 70,"A",U304&gt;=60,"B",U304&gt;=50,"C",U304&gt;=45,"D",U304&gt;=40,"E",U304&lt;40,"F")</f>
        <v>C</v>
      </c>
      <c r="V305" s="51" t="str" cm="1">
        <f t="array" ref="V305">_xlfn.IFS(V304&gt;= 70,"A",V304&gt;=60,"B",V304&gt;=50,"C",V304&gt;=45,"D",V304&gt;=40,"E",V304&lt;40,"F")</f>
        <v>C</v>
      </c>
      <c r="W305" s="50" t="str" cm="1">
        <f t="array" ref="W305">_xlfn.IFS(W304&gt;= 70,"A",W304&gt;=60,"B",W304&gt;=50,"C",W304&gt;=45,"D",W304&gt;=40,"E",W304&lt;40,"F")</f>
        <v>C</v>
      </c>
      <c r="X305" s="7"/>
      <c r="Y305" s="7"/>
      <c r="Z305" s="7"/>
      <c r="AA305" s="7"/>
      <c r="AB305" s="7"/>
      <c r="AC305" s="7"/>
      <c r="AD305" s="7"/>
      <c r="AE305" s="7"/>
      <c r="AF305" s="7"/>
      <c r="AM305" s="56">
        <f t="shared" ref="AM305" si="593">SUMIFS($I$4:$W$4,I304:W304,"&gt;0")</f>
        <v>23</v>
      </c>
      <c r="AN305" s="47">
        <f t="shared" ref="AN305" si="594">(SUMIFS($I$4:$W$4,I304:W304,"&gt;0")-SUMIFS($I$4:$W$4,I305:W305,"F"))</f>
        <v>23</v>
      </c>
      <c r="AO305" s="56">
        <f t="shared" ref="AO305" si="595">SUMIFS($I$4:$W$4,I305:W305,"F")</f>
        <v>0</v>
      </c>
      <c r="AP305" s="76"/>
      <c r="AQ305" s="74"/>
      <c r="AR305" s="71"/>
    </row>
    <row r="306" spans="1:44" ht="15" thickTop="1" x14ac:dyDescent="0.3">
      <c r="A306" s="68">
        <v>151</v>
      </c>
      <c r="B306" s="70"/>
      <c r="C306" s="75"/>
      <c r="D306" s="84"/>
      <c r="E306" s="84"/>
      <c r="F306" s="84"/>
      <c r="G306" s="84"/>
      <c r="H306" s="85"/>
      <c r="I306" s="49">
        <v>56</v>
      </c>
      <c r="J306" s="49">
        <v>46</v>
      </c>
      <c r="K306" s="49">
        <v>47</v>
      </c>
      <c r="L306" s="49">
        <v>48</v>
      </c>
      <c r="M306" s="49">
        <v>49</v>
      </c>
      <c r="N306" s="49">
        <v>50</v>
      </c>
      <c r="O306" s="49">
        <v>51</v>
      </c>
      <c r="P306" s="49">
        <v>52</v>
      </c>
      <c r="Q306" s="49">
        <v>53</v>
      </c>
      <c r="R306" s="49">
        <v>54</v>
      </c>
      <c r="S306" s="49">
        <v>55</v>
      </c>
      <c r="T306" s="49">
        <v>56</v>
      </c>
      <c r="U306" s="49">
        <v>57</v>
      </c>
      <c r="V306" s="49">
        <v>58</v>
      </c>
      <c r="W306" s="49">
        <v>59</v>
      </c>
      <c r="X306" s="7"/>
      <c r="Y306" s="7"/>
      <c r="Z306" s="7"/>
      <c r="AA306" s="7"/>
      <c r="AB306" s="7"/>
      <c r="AC306" s="7"/>
      <c r="AD306" s="7"/>
      <c r="AE306" s="7"/>
      <c r="AF306" s="7"/>
      <c r="AM306" s="59"/>
      <c r="AN306" s="46"/>
      <c r="AO306" s="59"/>
      <c r="AP306" s="75" cm="1">
        <f t="array" ref="AP306">SUM(VLOOKUP(I307:W307,GRADEPOINT!$A$2:$B$7,2,0)*$I$4:$W$4)</f>
        <v>63</v>
      </c>
      <c r="AQ306" s="73">
        <f t="shared" ref="AQ306" si="596">ROUND(AP306/AM307,2)</f>
        <v>2.74</v>
      </c>
      <c r="AR306" s="72"/>
    </row>
    <row r="307" spans="1:44" ht="15" thickBot="1" x14ac:dyDescent="0.35">
      <c r="A307" s="69"/>
      <c r="B307" s="71"/>
      <c r="C307" s="86"/>
      <c r="D307" s="87"/>
      <c r="E307" s="87"/>
      <c r="F307" s="87"/>
      <c r="G307" s="87"/>
      <c r="H307" s="88"/>
      <c r="I307" s="51" t="str" cm="1">
        <f t="array" ref="I307">_xlfn.IFS(I306&gt;= 70,"A",I306&gt;=60,"B",I306&gt;=50,"C",I306&gt;=45,"D",I306&gt;=40,"E",I306&lt;40,"F")</f>
        <v>C</v>
      </c>
      <c r="J307" s="51" t="str" cm="1">
        <f t="array" ref="J307">_xlfn.IFS(J306&gt;= 70,"A",J306&gt;=60,"B",J306&gt;=50,"C",J306&gt;=45,"D",J306&gt;=40,"E",J306&lt;40,"F")</f>
        <v>D</v>
      </c>
      <c r="K307" s="51" t="str" cm="1">
        <f t="array" ref="K307">_xlfn.IFS(K306&gt;= 70,"A",K306&gt;=60,"B",K306&gt;=50,"C",K306&gt;=45,"D",K306&gt;=40,"E",K306&lt;40,"F")</f>
        <v>D</v>
      </c>
      <c r="L307" s="50" t="str" cm="1">
        <f t="array" ref="L307">_xlfn.IFS(L306&gt;= 70,"A",L306&gt;=60,"B",L306&gt;=50,"C",L306&gt;=45,"D",L306&gt;=40,"E",L306&lt;40,"F")</f>
        <v>D</v>
      </c>
      <c r="M307" s="51" t="str" cm="1">
        <f t="array" ref="M307">_xlfn.IFS(M306&gt;= 70,"A",M306&gt;=60,"B",M306&gt;=50,"C",M306&gt;=45,"D",M306&gt;=40,"E",M306&lt;40,"F")</f>
        <v>D</v>
      </c>
      <c r="N307" s="51" t="str" cm="1">
        <f t="array" ref="N307">_xlfn.IFS(N306&gt;= 70,"A",N306&gt;=60,"B",N306&gt;=50,"C",N306&gt;=45,"D",N306&gt;=40,"E",N306&lt;40,"F")</f>
        <v>C</v>
      </c>
      <c r="O307" s="51" t="str" cm="1">
        <f t="array" ref="O307">_xlfn.IFS(O306&gt;= 70,"A",O306&gt;=60,"B",O306&gt;=50,"C",O306&gt;=45,"D",O306&gt;=40,"E",O306&lt;40,"F")</f>
        <v>C</v>
      </c>
      <c r="P307" s="51" t="str" cm="1">
        <f t="array" ref="P307">_xlfn.IFS(P306&gt;= 70,"A",P306&gt;=60,"B",P306&gt;=50,"C",P306&gt;=45,"D",P306&gt;=40,"E",P306&lt;40,"F")</f>
        <v>C</v>
      </c>
      <c r="Q307" s="51" t="str" cm="1">
        <f t="array" ref="Q307">_xlfn.IFS(Q306&gt;= 70,"A",Q306&gt;=60,"B",Q306&gt;=50,"C",Q306&gt;=45,"D",Q306&gt;=40,"E",Q306&lt;40,"F")</f>
        <v>C</v>
      </c>
      <c r="R307" s="51" t="str" cm="1">
        <f t="array" ref="R307">_xlfn.IFS(R306&gt;= 70,"A",R306&gt;=60,"B",R306&gt;=50,"C",R306&gt;=45,"D",R306&gt;=40,"E",R306&lt;40,"F")</f>
        <v>C</v>
      </c>
      <c r="S307" s="51" t="str" cm="1">
        <f t="array" ref="S307">_xlfn.IFS(S306&gt;= 70,"A",S306&gt;=60,"B",S306&gt;=50,"C",S306&gt;=45,"D",S306&gt;=40,"E",S306&lt;40,"F")</f>
        <v>C</v>
      </c>
      <c r="T307" s="51" t="str" cm="1">
        <f t="array" ref="T307">_xlfn.IFS(T306&gt;= 70,"A",T306&gt;=60,"B",T306&gt;=50,"C",T306&gt;=45,"D",T306&gt;=40,"E",T306&lt;40,"F")</f>
        <v>C</v>
      </c>
      <c r="U307" s="51" t="str" cm="1">
        <f t="array" ref="U307">_xlfn.IFS(U306&gt;= 70,"A",U306&gt;=60,"B",U306&gt;=50,"C",U306&gt;=45,"D",U306&gt;=40,"E",U306&lt;40,"F")</f>
        <v>C</v>
      </c>
      <c r="V307" s="51" t="str" cm="1">
        <f t="array" ref="V307">_xlfn.IFS(V306&gt;= 70,"A",V306&gt;=60,"B",V306&gt;=50,"C",V306&gt;=45,"D",V306&gt;=40,"E",V306&lt;40,"F")</f>
        <v>C</v>
      </c>
      <c r="W307" s="50" t="str" cm="1">
        <f t="array" ref="W307">_xlfn.IFS(W306&gt;= 70,"A",W306&gt;=60,"B",W306&gt;=50,"C",W306&gt;=45,"D",W306&gt;=40,"E",W306&lt;40,"F")</f>
        <v>C</v>
      </c>
      <c r="X307" s="7"/>
      <c r="Y307" s="7"/>
      <c r="Z307" s="7"/>
      <c r="AA307" s="7"/>
      <c r="AB307" s="7"/>
      <c r="AC307" s="7"/>
      <c r="AD307" s="7"/>
      <c r="AE307" s="7"/>
      <c r="AF307" s="7"/>
      <c r="AM307" s="56">
        <f t="shared" ref="AM307" si="597">SUMIFS($I$4:$W$4,I306:W306,"&gt;0")</f>
        <v>23</v>
      </c>
      <c r="AN307" s="47">
        <f t="shared" ref="AN307" si="598">(SUMIFS($I$4:$W$4,I306:W306,"&gt;0")-SUMIFS($I$4:$W$4,I307:W307,"F"))</f>
        <v>23</v>
      </c>
      <c r="AO307" s="56">
        <f t="shared" ref="AO307" si="599">SUMIFS($I$4:$W$4,I307:W307,"F")</f>
        <v>0</v>
      </c>
      <c r="AP307" s="76"/>
      <c r="AQ307" s="74"/>
      <c r="AR307" s="71"/>
    </row>
    <row r="308" spans="1:44" ht="15" thickTop="1" x14ac:dyDescent="0.3">
      <c r="A308" s="68">
        <v>152</v>
      </c>
      <c r="B308" s="70"/>
      <c r="C308" s="75"/>
      <c r="D308" s="84"/>
      <c r="E308" s="84"/>
      <c r="F308" s="84"/>
      <c r="G308" s="84"/>
      <c r="H308" s="85"/>
      <c r="I308" s="49">
        <v>56</v>
      </c>
      <c r="J308" s="49">
        <v>46</v>
      </c>
      <c r="K308" s="49">
        <v>47</v>
      </c>
      <c r="L308" s="49">
        <v>48</v>
      </c>
      <c r="M308" s="49">
        <v>49</v>
      </c>
      <c r="N308" s="49">
        <v>50</v>
      </c>
      <c r="O308" s="49">
        <v>51</v>
      </c>
      <c r="P308" s="49">
        <v>52</v>
      </c>
      <c r="Q308" s="49">
        <v>53</v>
      </c>
      <c r="R308" s="49">
        <v>54</v>
      </c>
      <c r="S308" s="49">
        <v>55</v>
      </c>
      <c r="T308" s="49">
        <v>56</v>
      </c>
      <c r="U308" s="49">
        <v>57</v>
      </c>
      <c r="V308" s="49">
        <v>58</v>
      </c>
      <c r="W308" s="49">
        <v>59</v>
      </c>
      <c r="X308" s="7"/>
      <c r="Y308" s="7"/>
      <c r="Z308" s="7"/>
      <c r="AA308" s="7"/>
      <c r="AB308" s="7"/>
      <c r="AC308" s="7"/>
      <c r="AD308" s="7"/>
      <c r="AE308" s="7"/>
      <c r="AF308" s="7"/>
      <c r="AM308" s="59"/>
      <c r="AN308" s="46"/>
      <c r="AO308" s="59"/>
      <c r="AP308" s="75" cm="1">
        <f t="array" ref="AP308">SUM(VLOOKUP(I309:W309,GRADEPOINT!$A$2:$B$7,2,0)*$I$4:$W$4)</f>
        <v>63</v>
      </c>
      <c r="AQ308" s="73">
        <f t="shared" ref="AQ308" si="600">ROUND(AP308/AM309,2)</f>
        <v>2.74</v>
      </c>
      <c r="AR308" s="72"/>
    </row>
    <row r="309" spans="1:44" ht="15" thickBot="1" x14ac:dyDescent="0.35">
      <c r="A309" s="69"/>
      <c r="B309" s="71"/>
      <c r="C309" s="86"/>
      <c r="D309" s="87"/>
      <c r="E309" s="87"/>
      <c r="F309" s="87"/>
      <c r="G309" s="87"/>
      <c r="H309" s="88"/>
      <c r="I309" s="51" t="str" cm="1">
        <f t="array" ref="I309">_xlfn.IFS(I308&gt;= 70,"A",I308&gt;=60,"B",I308&gt;=50,"C",I308&gt;=45,"D",I308&gt;=40,"E",I308&lt;40,"F")</f>
        <v>C</v>
      </c>
      <c r="J309" s="51" t="str" cm="1">
        <f t="array" ref="J309">_xlfn.IFS(J308&gt;= 70,"A",J308&gt;=60,"B",J308&gt;=50,"C",J308&gt;=45,"D",J308&gt;=40,"E",J308&lt;40,"F")</f>
        <v>D</v>
      </c>
      <c r="K309" s="51" t="str" cm="1">
        <f t="array" ref="K309">_xlfn.IFS(K308&gt;= 70,"A",K308&gt;=60,"B",K308&gt;=50,"C",K308&gt;=45,"D",K308&gt;=40,"E",K308&lt;40,"F")</f>
        <v>D</v>
      </c>
      <c r="L309" s="50" t="str" cm="1">
        <f t="array" ref="L309">_xlfn.IFS(L308&gt;= 70,"A",L308&gt;=60,"B",L308&gt;=50,"C",L308&gt;=45,"D",L308&gt;=40,"E",L308&lt;40,"F")</f>
        <v>D</v>
      </c>
      <c r="M309" s="51" t="str" cm="1">
        <f t="array" ref="M309">_xlfn.IFS(M308&gt;= 70,"A",M308&gt;=60,"B",M308&gt;=50,"C",M308&gt;=45,"D",M308&gt;=40,"E",M308&lt;40,"F")</f>
        <v>D</v>
      </c>
      <c r="N309" s="51" t="str" cm="1">
        <f t="array" ref="N309">_xlfn.IFS(N308&gt;= 70,"A",N308&gt;=60,"B",N308&gt;=50,"C",N308&gt;=45,"D",N308&gt;=40,"E",N308&lt;40,"F")</f>
        <v>C</v>
      </c>
      <c r="O309" s="51" t="str" cm="1">
        <f t="array" ref="O309">_xlfn.IFS(O308&gt;= 70,"A",O308&gt;=60,"B",O308&gt;=50,"C",O308&gt;=45,"D",O308&gt;=40,"E",O308&lt;40,"F")</f>
        <v>C</v>
      </c>
      <c r="P309" s="51" t="str" cm="1">
        <f t="array" ref="P309">_xlfn.IFS(P308&gt;= 70,"A",P308&gt;=60,"B",P308&gt;=50,"C",P308&gt;=45,"D",P308&gt;=40,"E",P308&lt;40,"F")</f>
        <v>C</v>
      </c>
      <c r="Q309" s="51" t="str" cm="1">
        <f t="array" ref="Q309">_xlfn.IFS(Q308&gt;= 70,"A",Q308&gt;=60,"B",Q308&gt;=50,"C",Q308&gt;=45,"D",Q308&gt;=40,"E",Q308&lt;40,"F")</f>
        <v>C</v>
      </c>
      <c r="R309" s="51" t="str" cm="1">
        <f t="array" ref="R309">_xlfn.IFS(R308&gt;= 70,"A",R308&gt;=60,"B",R308&gt;=50,"C",R308&gt;=45,"D",R308&gt;=40,"E",R308&lt;40,"F")</f>
        <v>C</v>
      </c>
      <c r="S309" s="51" t="str" cm="1">
        <f t="array" ref="S309">_xlfn.IFS(S308&gt;= 70,"A",S308&gt;=60,"B",S308&gt;=50,"C",S308&gt;=45,"D",S308&gt;=40,"E",S308&lt;40,"F")</f>
        <v>C</v>
      </c>
      <c r="T309" s="51" t="str" cm="1">
        <f t="array" ref="T309">_xlfn.IFS(T308&gt;= 70,"A",T308&gt;=60,"B",T308&gt;=50,"C",T308&gt;=45,"D",T308&gt;=40,"E",T308&lt;40,"F")</f>
        <v>C</v>
      </c>
      <c r="U309" s="51" t="str" cm="1">
        <f t="array" ref="U309">_xlfn.IFS(U308&gt;= 70,"A",U308&gt;=60,"B",U308&gt;=50,"C",U308&gt;=45,"D",U308&gt;=40,"E",U308&lt;40,"F")</f>
        <v>C</v>
      </c>
      <c r="V309" s="51" t="str" cm="1">
        <f t="array" ref="V309">_xlfn.IFS(V308&gt;= 70,"A",V308&gt;=60,"B",V308&gt;=50,"C",V308&gt;=45,"D",V308&gt;=40,"E",V308&lt;40,"F")</f>
        <v>C</v>
      </c>
      <c r="W309" s="50" t="str" cm="1">
        <f t="array" ref="W309">_xlfn.IFS(W308&gt;= 70,"A",W308&gt;=60,"B",W308&gt;=50,"C",W308&gt;=45,"D",W308&gt;=40,"E",W308&lt;40,"F")</f>
        <v>C</v>
      </c>
      <c r="X309" s="7"/>
      <c r="Y309" s="7"/>
      <c r="Z309" s="7"/>
      <c r="AA309" s="7"/>
      <c r="AB309" s="7"/>
      <c r="AC309" s="7"/>
      <c r="AD309" s="7"/>
      <c r="AE309" s="7"/>
      <c r="AF309" s="7"/>
      <c r="AM309" s="56">
        <f t="shared" ref="AM309" si="601">SUMIFS($I$4:$W$4,I308:W308,"&gt;0")</f>
        <v>23</v>
      </c>
      <c r="AN309" s="47">
        <f t="shared" ref="AN309" si="602">(SUMIFS($I$4:$W$4,I308:W308,"&gt;0")-SUMIFS($I$4:$W$4,I309:W309,"F"))</f>
        <v>23</v>
      </c>
      <c r="AO309" s="56">
        <f t="shared" ref="AO309" si="603">SUMIFS($I$4:$W$4,I309:W309,"F")</f>
        <v>0</v>
      </c>
      <c r="AP309" s="76"/>
      <c r="AQ309" s="74"/>
      <c r="AR309" s="71"/>
    </row>
    <row r="310" spans="1:44" ht="15" thickTop="1" x14ac:dyDescent="0.3">
      <c r="A310" s="68">
        <v>153</v>
      </c>
      <c r="B310" s="70"/>
      <c r="C310" s="75"/>
      <c r="D310" s="84"/>
      <c r="E310" s="84"/>
      <c r="F310" s="84"/>
      <c r="G310" s="84"/>
      <c r="H310" s="85"/>
      <c r="I310" s="49">
        <v>56</v>
      </c>
      <c r="J310" s="49">
        <v>46</v>
      </c>
      <c r="K310" s="49">
        <v>47</v>
      </c>
      <c r="L310" s="49">
        <v>48</v>
      </c>
      <c r="M310" s="49">
        <v>49</v>
      </c>
      <c r="N310" s="49">
        <v>50</v>
      </c>
      <c r="O310" s="49">
        <v>51</v>
      </c>
      <c r="P310" s="49">
        <v>52</v>
      </c>
      <c r="Q310" s="49">
        <v>53</v>
      </c>
      <c r="R310" s="49">
        <v>54</v>
      </c>
      <c r="S310" s="49">
        <v>55</v>
      </c>
      <c r="T310" s="49">
        <v>56</v>
      </c>
      <c r="U310" s="49">
        <v>57</v>
      </c>
      <c r="V310" s="49">
        <v>58</v>
      </c>
      <c r="W310" s="49">
        <v>59</v>
      </c>
      <c r="X310" s="7"/>
      <c r="Y310" s="7"/>
      <c r="Z310" s="7"/>
      <c r="AA310" s="7"/>
      <c r="AB310" s="7"/>
      <c r="AC310" s="7"/>
      <c r="AD310" s="7"/>
      <c r="AE310" s="7"/>
      <c r="AF310" s="7"/>
      <c r="AM310" s="59"/>
      <c r="AN310" s="46"/>
      <c r="AO310" s="59"/>
      <c r="AP310" s="75" cm="1">
        <f t="array" ref="AP310">SUM(VLOOKUP(I311:W311,GRADEPOINT!$A$2:$B$7,2,0)*$I$4:$W$4)</f>
        <v>63</v>
      </c>
      <c r="AQ310" s="73">
        <f t="shared" ref="AQ310" si="604">ROUND(AP310/AM311,2)</f>
        <v>2.74</v>
      </c>
      <c r="AR310" s="72"/>
    </row>
    <row r="311" spans="1:44" ht="15" thickBot="1" x14ac:dyDescent="0.35">
      <c r="A311" s="69"/>
      <c r="B311" s="71"/>
      <c r="C311" s="86"/>
      <c r="D311" s="87"/>
      <c r="E311" s="87"/>
      <c r="F311" s="87"/>
      <c r="G311" s="87"/>
      <c r="H311" s="88"/>
      <c r="I311" s="51" t="str" cm="1">
        <f t="array" ref="I311">_xlfn.IFS(I310&gt;= 70,"A",I310&gt;=60,"B",I310&gt;=50,"C",I310&gt;=45,"D",I310&gt;=40,"E",I310&lt;40,"F")</f>
        <v>C</v>
      </c>
      <c r="J311" s="51" t="str" cm="1">
        <f t="array" ref="J311">_xlfn.IFS(J310&gt;= 70,"A",J310&gt;=60,"B",J310&gt;=50,"C",J310&gt;=45,"D",J310&gt;=40,"E",J310&lt;40,"F")</f>
        <v>D</v>
      </c>
      <c r="K311" s="51" t="str" cm="1">
        <f t="array" ref="K311">_xlfn.IFS(K310&gt;= 70,"A",K310&gt;=60,"B",K310&gt;=50,"C",K310&gt;=45,"D",K310&gt;=40,"E",K310&lt;40,"F")</f>
        <v>D</v>
      </c>
      <c r="L311" s="50" t="str" cm="1">
        <f t="array" ref="L311">_xlfn.IFS(L310&gt;= 70,"A",L310&gt;=60,"B",L310&gt;=50,"C",L310&gt;=45,"D",L310&gt;=40,"E",L310&lt;40,"F")</f>
        <v>D</v>
      </c>
      <c r="M311" s="51" t="str" cm="1">
        <f t="array" ref="M311">_xlfn.IFS(M310&gt;= 70,"A",M310&gt;=60,"B",M310&gt;=50,"C",M310&gt;=45,"D",M310&gt;=40,"E",M310&lt;40,"F")</f>
        <v>D</v>
      </c>
      <c r="N311" s="51" t="str" cm="1">
        <f t="array" ref="N311">_xlfn.IFS(N310&gt;= 70,"A",N310&gt;=60,"B",N310&gt;=50,"C",N310&gt;=45,"D",N310&gt;=40,"E",N310&lt;40,"F")</f>
        <v>C</v>
      </c>
      <c r="O311" s="51" t="str" cm="1">
        <f t="array" ref="O311">_xlfn.IFS(O310&gt;= 70,"A",O310&gt;=60,"B",O310&gt;=50,"C",O310&gt;=45,"D",O310&gt;=40,"E",O310&lt;40,"F")</f>
        <v>C</v>
      </c>
      <c r="P311" s="51" t="str" cm="1">
        <f t="array" ref="P311">_xlfn.IFS(P310&gt;= 70,"A",P310&gt;=60,"B",P310&gt;=50,"C",P310&gt;=45,"D",P310&gt;=40,"E",P310&lt;40,"F")</f>
        <v>C</v>
      </c>
      <c r="Q311" s="51" t="str" cm="1">
        <f t="array" ref="Q311">_xlfn.IFS(Q310&gt;= 70,"A",Q310&gt;=60,"B",Q310&gt;=50,"C",Q310&gt;=45,"D",Q310&gt;=40,"E",Q310&lt;40,"F")</f>
        <v>C</v>
      </c>
      <c r="R311" s="51" t="str" cm="1">
        <f t="array" ref="R311">_xlfn.IFS(R310&gt;= 70,"A",R310&gt;=60,"B",R310&gt;=50,"C",R310&gt;=45,"D",R310&gt;=40,"E",R310&lt;40,"F")</f>
        <v>C</v>
      </c>
      <c r="S311" s="51" t="str" cm="1">
        <f t="array" ref="S311">_xlfn.IFS(S310&gt;= 70,"A",S310&gt;=60,"B",S310&gt;=50,"C",S310&gt;=45,"D",S310&gt;=40,"E",S310&lt;40,"F")</f>
        <v>C</v>
      </c>
      <c r="T311" s="51" t="str" cm="1">
        <f t="array" ref="T311">_xlfn.IFS(T310&gt;= 70,"A",T310&gt;=60,"B",T310&gt;=50,"C",T310&gt;=45,"D",T310&gt;=40,"E",T310&lt;40,"F")</f>
        <v>C</v>
      </c>
      <c r="U311" s="51" t="str" cm="1">
        <f t="array" ref="U311">_xlfn.IFS(U310&gt;= 70,"A",U310&gt;=60,"B",U310&gt;=50,"C",U310&gt;=45,"D",U310&gt;=40,"E",U310&lt;40,"F")</f>
        <v>C</v>
      </c>
      <c r="V311" s="51" t="str" cm="1">
        <f t="array" ref="V311">_xlfn.IFS(V310&gt;= 70,"A",V310&gt;=60,"B",V310&gt;=50,"C",V310&gt;=45,"D",V310&gt;=40,"E",V310&lt;40,"F")</f>
        <v>C</v>
      </c>
      <c r="W311" s="50" t="str" cm="1">
        <f t="array" ref="W311">_xlfn.IFS(W310&gt;= 70,"A",W310&gt;=60,"B",W310&gt;=50,"C",W310&gt;=45,"D",W310&gt;=40,"E",W310&lt;40,"F")</f>
        <v>C</v>
      </c>
      <c r="X311" s="7"/>
      <c r="Y311" s="7"/>
      <c r="Z311" s="7"/>
      <c r="AA311" s="7"/>
      <c r="AB311" s="7"/>
      <c r="AC311" s="7"/>
      <c r="AD311" s="7"/>
      <c r="AE311" s="7"/>
      <c r="AF311" s="7"/>
      <c r="AM311" s="56">
        <f t="shared" ref="AM311" si="605">SUMIFS($I$4:$W$4,I310:W310,"&gt;0")</f>
        <v>23</v>
      </c>
      <c r="AN311" s="47">
        <f t="shared" ref="AN311" si="606">(SUMIFS($I$4:$W$4,I310:W310,"&gt;0")-SUMIFS($I$4:$W$4,I311:W311,"F"))</f>
        <v>23</v>
      </c>
      <c r="AO311" s="56">
        <f t="shared" ref="AO311" si="607">SUMIFS($I$4:$W$4,I311:W311,"F")</f>
        <v>0</v>
      </c>
      <c r="AP311" s="76"/>
      <c r="AQ311" s="74"/>
      <c r="AR311" s="71"/>
    </row>
    <row r="312" spans="1:44" ht="15" thickTop="1" x14ac:dyDescent="0.3">
      <c r="A312" s="68">
        <v>154</v>
      </c>
      <c r="B312" s="70"/>
      <c r="C312" s="75"/>
      <c r="D312" s="84"/>
      <c r="E312" s="84"/>
      <c r="F312" s="84"/>
      <c r="G312" s="84"/>
      <c r="H312" s="85"/>
      <c r="I312" s="49">
        <v>56</v>
      </c>
      <c r="J312" s="49">
        <v>46</v>
      </c>
      <c r="K312" s="49">
        <v>47</v>
      </c>
      <c r="L312" s="49">
        <v>48</v>
      </c>
      <c r="M312" s="49">
        <v>49</v>
      </c>
      <c r="N312" s="49">
        <v>50</v>
      </c>
      <c r="O312" s="49">
        <v>51</v>
      </c>
      <c r="P312" s="49">
        <v>52</v>
      </c>
      <c r="Q312" s="49">
        <v>53</v>
      </c>
      <c r="R312" s="49">
        <v>54</v>
      </c>
      <c r="S312" s="49">
        <v>55</v>
      </c>
      <c r="T312" s="49">
        <v>56</v>
      </c>
      <c r="U312" s="49">
        <v>57</v>
      </c>
      <c r="V312" s="49">
        <v>58</v>
      </c>
      <c r="W312" s="49">
        <v>59</v>
      </c>
      <c r="X312" s="7"/>
      <c r="Y312" s="7"/>
      <c r="Z312" s="7"/>
      <c r="AA312" s="7"/>
      <c r="AB312" s="7"/>
      <c r="AC312" s="7"/>
      <c r="AD312" s="7"/>
      <c r="AE312" s="7"/>
      <c r="AF312" s="7"/>
      <c r="AM312" s="59"/>
      <c r="AN312" s="46"/>
      <c r="AO312" s="59"/>
      <c r="AP312" s="75" cm="1">
        <f t="array" ref="AP312">SUM(VLOOKUP(I313:W313,GRADEPOINT!$A$2:$B$7,2,0)*$I$4:$W$4)</f>
        <v>63</v>
      </c>
      <c r="AQ312" s="73">
        <f t="shared" ref="AQ312" si="608">ROUND(AP312/AM313,2)</f>
        <v>2.74</v>
      </c>
      <c r="AR312" s="72"/>
    </row>
    <row r="313" spans="1:44" ht="15" thickBot="1" x14ac:dyDescent="0.35">
      <c r="A313" s="69"/>
      <c r="B313" s="71"/>
      <c r="C313" s="86"/>
      <c r="D313" s="87"/>
      <c r="E313" s="87"/>
      <c r="F313" s="87"/>
      <c r="G313" s="87"/>
      <c r="H313" s="88"/>
      <c r="I313" s="51" t="str" cm="1">
        <f t="array" ref="I313">_xlfn.IFS(I312&gt;= 70,"A",I312&gt;=60,"B",I312&gt;=50,"C",I312&gt;=45,"D",I312&gt;=40,"E",I312&lt;40,"F")</f>
        <v>C</v>
      </c>
      <c r="J313" s="51" t="str" cm="1">
        <f t="array" ref="J313">_xlfn.IFS(J312&gt;= 70,"A",J312&gt;=60,"B",J312&gt;=50,"C",J312&gt;=45,"D",J312&gt;=40,"E",J312&lt;40,"F")</f>
        <v>D</v>
      </c>
      <c r="K313" s="51" t="str" cm="1">
        <f t="array" ref="K313">_xlfn.IFS(K312&gt;= 70,"A",K312&gt;=60,"B",K312&gt;=50,"C",K312&gt;=45,"D",K312&gt;=40,"E",K312&lt;40,"F")</f>
        <v>D</v>
      </c>
      <c r="L313" s="50" t="str" cm="1">
        <f t="array" ref="L313">_xlfn.IFS(L312&gt;= 70,"A",L312&gt;=60,"B",L312&gt;=50,"C",L312&gt;=45,"D",L312&gt;=40,"E",L312&lt;40,"F")</f>
        <v>D</v>
      </c>
      <c r="M313" s="51" t="str" cm="1">
        <f t="array" ref="M313">_xlfn.IFS(M312&gt;= 70,"A",M312&gt;=60,"B",M312&gt;=50,"C",M312&gt;=45,"D",M312&gt;=40,"E",M312&lt;40,"F")</f>
        <v>D</v>
      </c>
      <c r="N313" s="51" t="str" cm="1">
        <f t="array" ref="N313">_xlfn.IFS(N312&gt;= 70,"A",N312&gt;=60,"B",N312&gt;=50,"C",N312&gt;=45,"D",N312&gt;=40,"E",N312&lt;40,"F")</f>
        <v>C</v>
      </c>
      <c r="O313" s="51" t="str" cm="1">
        <f t="array" ref="O313">_xlfn.IFS(O312&gt;= 70,"A",O312&gt;=60,"B",O312&gt;=50,"C",O312&gt;=45,"D",O312&gt;=40,"E",O312&lt;40,"F")</f>
        <v>C</v>
      </c>
      <c r="P313" s="51" t="str" cm="1">
        <f t="array" ref="P313">_xlfn.IFS(P312&gt;= 70,"A",P312&gt;=60,"B",P312&gt;=50,"C",P312&gt;=45,"D",P312&gt;=40,"E",P312&lt;40,"F")</f>
        <v>C</v>
      </c>
      <c r="Q313" s="51" t="str" cm="1">
        <f t="array" ref="Q313">_xlfn.IFS(Q312&gt;= 70,"A",Q312&gt;=60,"B",Q312&gt;=50,"C",Q312&gt;=45,"D",Q312&gt;=40,"E",Q312&lt;40,"F")</f>
        <v>C</v>
      </c>
      <c r="R313" s="51" t="str" cm="1">
        <f t="array" ref="R313">_xlfn.IFS(R312&gt;= 70,"A",R312&gt;=60,"B",R312&gt;=50,"C",R312&gt;=45,"D",R312&gt;=40,"E",R312&lt;40,"F")</f>
        <v>C</v>
      </c>
      <c r="S313" s="51" t="str" cm="1">
        <f t="array" ref="S313">_xlfn.IFS(S312&gt;= 70,"A",S312&gt;=60,"B",S312&gt;=50,"C",S312&gt;=45,"D",S312&gt;=40,"E",S312&lt;40,"F")</f>
        <v>C</v>
      </c>
      <c r="T313" s="51" t="str" cm="1">
        <f t="array" ref="T313">_xlfn.IFS(T312&gt;= 70,"A",T312&gt;=60,"B",T312&gt;=50,"C",T312&gt;=45,"D",T312&gt;=40,"E",T312&lt;40,"F")</f>
        <v>C</v>
      </c>
      <c r="U313" s="51" t="str" cm="1">
        <f t="array" ref="U313">_xlfn.IFS(U312&gt;= 70,"A",U312&gt;=60,"B",U312&gt;=50,"C",U312&gt;=45,"D",U312&gt;=40,"E",U312&lt;40,"F")</f>
        <v>C</v>
      </c>
      <c r="V313" s="51" t="str" cm="1">
        <f t="array" ref="V313">_xlfn.IFS(V312&gt;= 70,"A",V312&gt;=60,"B",V312&gt;=50,"C",V312&gt;=45,"D",V312&gt;=40,"E",V312&lt;40,"F")</f>
        <v>C</v>
      </c>
      <c r="W313" s="50" t="str" cm="1">
        <f t="array" ref="W313">_xlfn.IFS(W312&gt;= 70,"A",W312&gt;=60,"B",W312&gt;=50,"C",W312&gt;=45,"D",W312&gt;=40,"E",W312&lt;40,"F")</f>
        <v>C</v>
      </c>
      <c r="X313" s="7"/>
      <c r="Y313" s="7"/>
      <c r="Z313" s="7"/>
      <c r="AA313" s="7"/>
      <c r="AB313" s="7"/>
      <c r="AC313" s="7"/>
      <c r="AD313" s="7"/>
      <c r="AE313" s="7"/>
      <c r="AF313" s="7"/>
      <c r="AM313" s="56">
        <f t="shared" ref="AM313" si="609">SUMIFS($I$4:$W$4,I312:W312,"&gt;0")</f>
        <v>23</v>
      </c>
      <c r="AN313" s="47">
        <f t="shared" ref="AN313" si="610">(SUMIFS($I$4:$W$4,I312:W312,"&gt;0")-SUMIFS($I$4:$W$4,I313:W313,"F"))</f>
        <v>23</v>
      </c>
      <c r="AO313" s="56">
        <f t="shared" ref="AO313" si="611">SUMIFS($I$4:$W$4,I313:W313,"F")</f>
        <v>0</v>
      </c>
      <c r="AP313" s="76"/>
      <c r="AQ313" s="74"/>
      <c r="AR313" s="71"/>
    </row>
    <row r="314" spans="1:44" ht="15" thickTop="1" x14ac:dyDescent="0.3">
      <c r="A314" s="68">
        <v>155</v>
      </c>
      <c r="B314" s="70"/>
      <c r="C314" s="75"/>
      <c r="D314" s="84"/>
      <c r="E314" s="84"/>
      <c r="F314" s="84"/>
      <c r="G314" s="84"/>
      <c r="H314" s="85"/>
      <c r="I314" s="49">
        <v>56</v>
      </c>
      <c r="J314" s="49">
        <v>46</v>
      </c>
      <c r="K314" s="49">
        <v>47</v>
      </c>
      <c r="L314" s="49">
        <v>48</v>
      </c>
      <c r="M314" s="49">
        <v>49</v>
      </c>
      <c r="N314" s="49">
        <v>50</v>
      </c>
      <c r="O314" s="49">
        <v>51</v>
      </c>
      <c r="P314" s="49">
        <v>52</v>
      </c>
      <c r="Q314" s="49">
        <v>53</v>
      </c>
      <c r="R314" s="49">
        <v>54</v>
      </c>
      <c r="S314" s="49">
        <v>55</v>
      </c>
      <c r="T314" s="49">
        <v>56</v>
      </c>
      <c r="U314" s="49">
        <v>57</v>
      </c>
      <c r="V314" s="49">
        <v>58</v>
      </c>
      <c r="W314" s="49">
        <v>59</v>
      </c>
      <c r="X314" s="7"/>
      <c r="Y314" s="7"/>
      <c r="Z314" s="7"/>
      <c r="AA314" s="7"/>
      <c r="AB314" s="7"/>
      <c r="AC314" s="7"/>
      <c r="AD314" s="7"/>
      <c r="AE314" s="7"/>
      <c r="AF314" s="7"/>
      <c r="AM314" s="59"/>
      <c r="AN314" s="46"/>
      <c r="AO314" s="59"/>
      <c r="AP314" s="75" cm="1">
        <f t="array" ref="AP314">SUM(VLOOKUP(I315:W315,GRADEPOINT!$A$2:$B$7,2,0)*$I$4:$W$4)</f>
        <v>63</v>
      </c>
      <c r="AQ314" s="73">
        <f t="shared" ref="AQ314" si="612">ROUND(AP314/AM315,2)</f>
        <v>2.74</v>
      </c>
      <c r="AR314" s="72"/>
    </row>
    <row r="315" spans="1:44" ht="15" thickBot="1" x14ac:dyDescent="0.35">
      <c r="A315" s="69"/>
      <c r="B315" s="71"/>
      <c r="C315" s="86"/>
      <c r="D315" s="87"/>
      <c r="E315" s="87"/>
      <c r="F315" s="87"/>
      <c r="G315" s="87"/>
      <c r="H315" s="88"/>
      <c r="I315" s="51" t="str" cm="1">
        <f t="array" ref="I315">_xlfn.IFS(I314&gt;= 70,"A",I314&gt;=60,"B",I314&gt;=50,"C",I314&gt;=45,"D",I314&gt;=40,"E",I314&lt;40,"F")</f>
        <v>C</v>
      </c>
      <c r="J315" s="51" t="str" cm="1">
        <f t="array" ref="J315">_xlfn.IFS(J314&gt;= 70,"A",J314&gt;=60,"B",J314&gt;=50,"C",J314&gt;=45,"D",J314&gt;=40,"E",J314&lt;40,"F")</f>
        <v>D</v>
      </c>
      <c r="K315" s="51" t="str" cm="1">
        <f t="array" ref="K315">_xlfn.IFS(K314&gt;= 70,"A",K314&gt;=60,"B",K314&gt;=50,"C",K314&gt;=45,"D",K314&gt;=40,"E",K314&lt;40,"F")</f>
        <v>D</v>
      </c>
      <c r="L315" s="50" t="str" cm="1">
        <f t="array" ref="L315">_xlfn.IFS(L314&gt;= 70,"A",L314&gt;=60,"B",L314&gt;=50,"C",L314&gt;=45,"D",L314&gt;=40,"E",L314&lt;40,"F")</f>
        <v>D</v>
      </c>
      <c r="M315" s="51" t="str" cm="1">
        <f t="array" ref="M315">_xlfn.IFS(M314&gt;= 70,"A",M314&gt;=60,"B",M314&gt;=50,"C",M314&gt;=45,"D",M314&gt;=40,"E",M314&lt;40,"F")</f>
        <v>D</v>
      </c>
      <c r="N315" s="51" t="str" cm="1">
        <f t="array" ref="N315">_xlfn.IFS(N314&gt;= 70,"A",N314&gt;=60,"B",N314&gt;=50,"C",N314&gt;=45,"D",N314&gt;=40,"E",N314&lt;40,"F")</f>
        <v>C</v>
      </c>
      <c r="O315" s="51" t="str" cm="1">
        <f t="array" ref="O315">_xlfn.IFS(O314&gt;= 70,"A",O314&gt;=60,"B",O314&gt;=50,"C",O314&gt;=45,"D",O314&gt;=40,"E",O314&lt;40,"F")</f>
        <v>C</v>
      </c>
      <c r="P315" s="51" t="str" cm="1">
        <f t="array" ref="P315">_xlfn.IFS(P314&gt;= 70,"A",P314&gt;=60,"B",P314&gt;=50,"C",P314&gt;=45,"D",P314&gt;=40,"E",P314&lt;40,"F")</f>
        <v>C</v>
      </c>
      <c r="Q315" s="51" t="str" cm="1">
        <f t="array" ref="Q315">_xlfn.IFS(Q314&gt;= 70,"A",Q314&gt;=60,"B",Q314&gt;=50,"C",Q314&gt;=45,"D",Q314&gt;=40,"E",Q314&lt;40,"F")</f>
        <v>C</v>
      </c>
      <c r="R315" s="51" t="str" cm="1">
        <f t="array" ref="R315">_xlfn.IFS(R314&gt;= 70,"A",R314&gt;=60,"B",R314&gt;=50,"C",R314&gt;=45,"D",R314&gt;=40,"E",R314&lt;40,"F")</f>
        <v>C</v>
      </c>
      <c r="S315" s="51" t="str" cm="1">
        <f t="array" ref="S315">_xlfn.IFS(S314&gt;= 70,"A",S314&gt;=60,"B",S314&gt;=50,"C",S314&gt;=45,"D",S314&gt;=40,"E",S314&lt;40,"F")</f>
        <v>C</v>
      </c>
      <c r="T315" s="51" t="str" cm="1">
        <f t="array" ref="T315">_xlfn.IFS(T314&gt;= 70,"A",T314&gt;=60,"B",T314&gt;=50,"C",T314&gt;=45,"D",T314&gt;=40,"E",T314&lt;40,"F")</f>
        <v>C</v>
      </c>
      <c r="U315" s="51" t="str" cm="1">
        <f t="array" ref="U315">_xlfn.IFS(U314&gt;= 70,"A",U314&gt;=60,"B",U314&gt;=50,"C",U314&gt;=45,"D",U314&gt;=40,"E",U314&lt;40,"F")</f>
        <v>C</v>
      </c>
      <c r="V315" s="51" t="str" cm="1">
        <f t="array" ref="V315">_xlfn.IFS(V314&gt;= 70,"A",V314&gt;=60,"B",V314&gt;=50,"C",V314&gt;=45,"D",V314&gt;=40,"E",V314&lt;40,"F")</f>
        <v>C</v>
      </c>
      <c r="W315" s="50" t="str" cm="1">
        <f t="array" ref="W315">_xlfn.IFS(W314&gt;= 70,"A",W314&gt;=60,"B",W314&gt;=50,"C",W314&gt;=45,"D",W314&gt;=40,"E",W314&lt;40,"F")</f>
        <v>C</v>
      </c>
      <c r="X315" s="7"/>
      <c r="Y315" s="7"/>
      <c r="Z315" s="7"/>
      <c r="AA315" s="7"/>
      <c r="AB315" s="7"/>
      <c r="AC315" s="7"/>
      <c r="AD315" s="7"/>
      <c r="AE315" s="7"/>
      <c r="AF315" s="7"/>
      <c r="AM315" s="56">
        <f t="shared" ref="AM315" si="613">SUMIFS($I$4:$W$4,I314:W314,"&gt;0")</f>
        <v>23</v>
      </c>
      <c r="AN315" s="47">
        <f t="shared" ref="AN315" si="614">(SUMIFS($I$4:$W$4,I314:W314,"&gt;0")-SUMIFS($I$4:$W$4,I315:W315,"F"))</f>
        <v>23</v>
      </c>
      <c r="AO315" s="56">
        <f t="shared" ref="AO315" si="615">SUMIFS($I$4:$W$4,I315:W315,"F")</f>
        <v>0</v>
      </c>
      <c r="AP315" s="76"/>
      <c r="AQ315" s="74"/>
      <c r="AR315" s="71"/>
    </row>
    <row r="316" spans="1:44" ht="15" thickTop="1" x14ac:dyDescent="0.3">
      <c r="A316" s="68">
        <v>156</v>
      </c>
      <c r="B316" s="70"/>
      <c r="C316" s="75"/>
      <c r="D316" s="84"/>
      <c r="E316" s="84"/>
      <c r="F316" s="84"/>
      <c r="G316" s="84"/>
      <c r="H316" s="85"/>
      <c r="I316" s="49">
        <v>56</v>
      </c>
      <c r="J316" s="49">
        <v>46</v>
      </c>
      <c r="K316" s="49">
        <v>47</v>
      </c>
      <c r="L316" s="49">
        <v>48</v>
      </c>
      <c r="M316" s="49">
        <v>49</v>
      </c>
      <c r="N316" s="49">
        <v>50</v>
      </c>
      <c r="O316" s="49">
        <v>51</v>
      </c>
      <c r="P316" s="49">
        <v>52</v>
      </c>
      <c r="Q316" s="49">
        <v>53</v>
      </c>
      <c r="R316" s="49">
        <v>54</v>
      </c>
      <c r="S316" s="49">
        <v>55</v>
      </c>
      <c r="T316" s="49">
        <v>56</v>
      </c>
      <c r="U316" s="49">
        <v>57</v>
      </c>
      <c r="V316" s="49">
        <v>58</v>
      </c>
      <c r="W316" s="49">
        <v>59</v>
      </c>
      <c r="X316" s="7"/>
      <c r="Y316" s="7"/>
      <c r="Z316" s="7"/>
      <c r="AA316" s="7"/>
      <c r="AB316" s="7"/>
      <c r="AC316" s="7"/>
      <c r="AD316" s="7"/>
      <c r="AE316" s="7"/>
      <c r="AF316" s="7"/>
      <c r="AM316" s="59"/>
      <c r="AN316" s="46"/>
      <c r="AO316" s="59"/>
      <c r="AP316" s="75" cm="1">
        <f t="array" ref="AP316">SUM(VLOOKUP(I317:W317,GRADEPOINT!$A$2:$B$7,2,0)*$I$4:$W$4)</f>
        <v>63</v>
      </c>
      <c r="AQ316" s="73">
        <f t="shared" ref="AQ316" si="616">ROUND(AP316/AM317,2)</f>
        <v>2.74</v>
      </c>
      <c r="AR316" s="72"/>
    </row>
    <row r="317" spans="1:44" ht="15" thickBot="1" x14ac:dyDescent="0.35">
      <c r="A317" s="69"/>
      <c r="B317" s="71"/>
      <c r="C317" s="86"/>
      <c r="D317" s="87"/>
      <c r="E317" s="87"/>
      <c r="F317" s="87"/>
      <c r="G317" s="87"/>
      <c r="H317" s="88"/>
      <c r="I317" s="51" t="str" cm="1">
        <f t="array" ref="I317">_xlfn.IFS(I316&gt;= 70,"A",I316&gt;=60,"B",I316&gt;=50,"C",I316&gt;=45,"D",I316&gt;=40,"E",I316&lt;40,"F")</f>
        <v>C</v>
      </c>
      <c r="J317" s="51" t="str" cm="1">
        <f t="array" ref="J317">_xlfn.IFS(J316&gt;= 70,"A",J316&gt;=60,"B",J316&gt;=50,"C",J316&gt;=45,"D",J316&gt;=40,"E",J316&lt;40,"F")</f>
        <v>D</v>
      </c>
      <c r="K317" s="51" t="str" cm="1">
        <f t="array" ref="K317">_xlfn.IFS(K316&gt;= 70,"A",K316&gt;=60,"B",K316&gt;=50,"C",K316&gt;=45,"D",K316&gt;=40,"E",K316&lt;40,"F")</f>
        <v>D</v>
      </c>
      <c r="L317" s="50" t="str" cm="1">
        <f t="array" ref="L317">_xlfn.IFS(L316&gt;= 70,"A",L316&gt;=60,"B",L316&gt;=50,"C",L316&gt;=45,"D",L316&gt;=40,"E",L316&lt;40,"F")</f>
        <v>D</v>
      </c>
      <c r="M317" s="51" t="str" cm="1">
        <f t="array" ref="M317">_xlfn.IFS(M316&gt;= 70,"A",M316&gt;=60,"B",M316&gt;=50,"C",M316&gt;=45,"D",M316&gt;=40,"E",M316&lt;40,"F")</f>
        <v>D</v>
      </c>
      <c r="N317" s="51" t="str" cm="1">
        <f t="array" ref="N317">_xlfn.IFS(N316&gt;= 70,"A",N316&gt;=60,"B",N316&gt;=50,"C",N316&gt;=45,"D",N316&gt;=40,"E",N316&lt;40,"F")</f>
        <v>C</v>
      </c>
      <c r="O317" s="51" t="str" cm="1">
        <f t="array" ref="O317">_xlfn.IFS(O316&gt;= 70,"A",O316&gt;=60,"B",O316&gt;=50,"C",O316&gt;=45,"D",O316&gt;=40,"E",O316&lt;40,"F")</f>
        <v>C</v>
      </c>
      <c r="P317" s="51" t="str" cm="1">
        <f t="array" ref="P317">_xlfn.IFS(P316&gt;= 70,"A",P316&gt;=60,"B",P316&gt;=50,"C",P316&gt;=45,"D",P316&gt;=40,"E",P316&lt;40,"F")</f>
        <v>C</v>
      </c>
      <c r="Q317" s="51" t="str" cm="1">
        <f t="array" ref="Q317">_xlfn.IFS(Q316&gt;= 70,"A",Q316&gt;=60,"B",Q316&gt;=50,"C",Q316&gt;=45,"D",Q316&gt;=40,"E",Q316&lt;40,"F")</f>
        <v>C</v>
      </c>
      <c r="R317" s="51" t="str" cm="1">
        <f t="array" ref="R317">_xlfn.IFS(R316&gt;= 70,"A",R316&gt;=60,"B",R316&gt;=50,"C",R316&gt;=45,"D",R316&gt;=40,"E",R316&lt;40,"F")</f>
        <v>C</v>
      </c>
      <c r="S317" s="51" t="str" cm="1">
        <f t="array" ref="S317">_xlfn.IFS(S316&gt;= 70,"A",S316&gt;=60,"B",S316&gt;=50,"C",S316&gt;=45,"D",S316&gt;=40,"E",S316&lt;40,"F")</f>
        <v>C</v>
      </c>
      <c r="T317" s="51" t="str" cm="1">
        <f t="array" ref="T317">_xlfn.IFS(T316&gt;= 70,"A",T316&gt;=60,"B",T316&gt;=50,"C",T316&gt;=45,"D",T316&gt;=40,"E",T316&lt;40,"F")</f>
        <v>C</v>
      </c>
      <c r="U317" s="51" t="str" cm="1">
        <f t="array" ref="U317">_xlfn.IFS(U316&gt;= 70,"A",U316&gt;=60,"B",U316&gt;=50,"C",U316&gt;=45,"D",U316&gt;=40,"E",U316&lt;40,"F")</f>
        <v>C</v>
      </c>
      <c r="V317" s="51" t="str" cm="1">
        <f t="array" ref="V317">_xlfn.IFS(V316&gt;= 70,"A",V316&gt;=60,"B",V316&gt;=50,"C",V316&gt;=45,"D",V316&gt;=40,"E",V316&lt;40,"F")</f>
        <v>C</v>
      </c>
      <c r="W317" s="50" t="str" cm="1">
        <f t="array" ref="W317">_xlfn.IFS(W316&gt;= 70,"A",W316&gt;=60,"B",W316&gt;=50,"C",W316&gt;=45,"D",W316&gt;=40,"E",W316&lt;40,"F")</f>
        <v>C</v>
      </c>
      <c r="X317" s="7"/>
      <c r="Y317" s="7"/>
      <c r="Z317" s="7"/>
      <c r="AA317" s="7"/>
      <c r="AB317" s="7"/>
      <c r="AC317" s="7"/>
      <c r="AD317" s="7"/>
      <c r="AE317" s="7"/>
      <c r="AF317" s="7"/>
      <c r="AM317" s="56">
        <f t="shared" ref="AM317" si="617">SUMIFS($I$4:$W$4,I316:W316,"&gt;0")</f>
        <v>23</v>
      </c>
      <c r="AN317" s="47">
        <f t="shared" ref="AN317" si="618">(SUMIFS($I$4:$W$4,I316:W316,"&gt;0")-SUMIFS($I$4:$W$4,I317:W317,"F"))</f>
        <v>23</v>
      </c>
      <c r="AO317" s="56">
        <f t="shared" ref="AO317" si="619">SUMIFS($I$4:$W$4,I317:W317,"F")</f>
        <v>0</v>
      </c>
      <c r="AP317" s="76"/>
      <c r="AQ317" s="74"/>
      <c r="AR317" s="71"/>
    </row>
    <row r="318" spans="1:44" ht="15" thickTop="1" x14ac:dyDescent="0.3">
      <c r="A318" s="68">
        <v>157</v>
      </c>
      <c r="B318" s="70"/>
      <c r="C318" s="75"/>
      <c r="D318" s="84"/>
      <c r="E318" s="84"/>
      <c r="F318" s="84"/>
      <c r="G318" s="84"/>
      <c r="H318" s="85"/>
      <c r="I318" s="49">
        <v>56</v>
      </c>
      <c r="J318" s="49">
        <v>46</v>
      </c>
      <c r="K318" s="49">
        <v>47</v>
      </c>
      <c r="L318" s="49">
        <v>48</v>
      </c>
      <c r="M318" s="49">
        <v>49</v>
      </c>
      <c r="N318" s="49">
        <v>50</v>
      </c>
      <c r="O318" s="49">
        <v>51</v>
      </c>
      <c r="P318" s="49">
        <v>52</v>
      </c>
      <c r="Q318" s="49">
        <v>53</v>
      </c>
      <c r="R318" s="49">
        <v>54</v>
      </c>
      <c r="S318" s="49">
        <v>55</v>
      </c>
      <c r="T318" s="49">
        <v>56</v>
      </c>
      <c r="U318" s="49">
        <v>57</v>
      </c>
      <c r="V318" s="49">
        <v>58</v>
      </c>
      <c r="W318" s="49">
        <v>59</v>
      </c>
      <c r="X318" s="7"/>
      <c r="Y318" s="7"/>
      <c r="Z318" s="7"/>
      <c r="AA318" s="7"/>
      <c r="AB318" s="7"/>
      <c r="AC318" s="7"/>
      <c r="AD318" s="7"/>
      <c r="AE318" s="7"/>
      <c r="AF318" s="7"/>
      <c r="AM318" s="59"/>
      <c r="AN318" s="46"/>
      <c r="AO318" s="59"/>
      <c r="AP318" s="75" cm="1">
        <f t="array" ref="AP318">SUM(VLOOKUP(I319:W319,GRADEPOINT!$A$2:$B$7,2,0)*$I$4:$W$4)</f>
        <v>63</v>
      </c>
      <c r="AQ318" s="73">
        <f t="shared" ref="AQ318" si="620">ROUND(AP318/AM319,2)</f>
        <v>2.74</v>
      </c>
      <c r="AR318" s="72"/>
    </row>
    <row r="319" spans="1:44" ht="15" thickBot="1" x14ac:dyDescent="0.35">
      <c r="A319" s="69"/>
      <c r="B319" s="71"/>
      <c r="C319" s="86"/>
      <c r="D319" s="87"/>
      <c r="E319" s="87"/>
      <c r="F319" s="87"/>
      <c r="G319" s="87"/>
      <c r="H319" s="88"/>
      <c r="I319" s="51" t="str" cm="1">
        <f t="array" ref="I319">_xlfn.IFS(I318&gt;= 70,"A",I318&gt;=60,"B",I318&gt;=50,"C",I318&gt;=45,"D",I318&gt;=40,"E",I318&lt;40,"F")</f>
        <v>C</v>
      </c>
      <c r="J319" s="51" t="str" cm="1">
        <f t="array" ref="J319">_xlfn.IFS(J318&gt;= 70,"A",J318&gt;=60,"B",J318&gt;=50,"C",J318&gt;=45,"D",J318&gt;=40,"E",J318&lt;40,"F")</f>
        <v>D</v>
      </c>
      <c r="K319" s="51" t="str" cm="1">
        <f t="array" ref="K319">_xlfn.IFS(K318&gt;= 70,"A",K318&gt;=60,"B",K318&gt;=50,"C",K318&gt;=45,"D",K318&gt;=40,"E",K318&lt;40,"F")</f>
        <v>D</v>
      </c>
      <c r="L319" s="50" t="str" cm="1">
        <f t="array" ref="L319">_xlfn.IFS(L318&gt;= 70,"A",L318&gt;=60,"B",L318&gt;=50,"C",L318&gt;=45,"D",L318&gt;=40,"E",L318&lt;40,"F")</f>
        <v>D</v>
      </c>
      <c r="M319" s="51" t="str" cm="1">
        <f t="array" ref="M319">_xlfn.IFS(M318&gt;= 70,"A",M318&gt;=60,"B",M318&gt;=50,"C",M318&gt;=45,"D",M318&gt;=40,"E",M318&lt;40,"F")</f>
        <v>D</v>
      </c>
      <c r="N319" s="51" t="str" cm="1">
        <f t="array" ref="N319">_xlfn.IFS(N318&gt;= 70,"A",N318&gt;=60,"B",N318&gt;=50,"C",N318&gt;=45,"D",N318&gt;=40,"E",N318&lt;40,"F")</f>
        <v>C</v>
      </c>
      <c r="O319" s="51" t="str" cm="1">
        <f t="array" ref="O319">_xlfn.IFS(O318&gt;= 70,"A",O318&gt;=60,"B",O318&gt;=50,"C",O318&gt;=45,"D",O318&gt;=40,"E",O318&lt;40,"F")</f>
        <v>C</v>
      </c>
      <c r="P319" s="51" t="str" cm="1">
        <f t="array" ref="P319">_xlfn.IFS(P318&gt;= 70,"A",P318&gt;=60,"B",P318&gt;=50,"C",P318&gt;=45,"D",P318&gt;=40,"E",P318&lt;40,"F")</f>
        <v>C</v>
      </c>
      <c r="Q319" s="51" t="str" cm="1">
        <f t="array" ref="Q319">_xlfn.IFS(Q318&gt;= 70,"A",Q318&gt;=60,"B",Q318&gt;=50,"C",Q318&gt;=45,"D",Q318&gt;=40,"E",Q318&lt;40,"F")</f>
        <v>C</v>
      </c>
      <c r="R319" s="51" t="str" cm="1">
        <f t="array" ref="R319">_xlfn.IFS(R318&gt;= 70,"A",R318&gt;=60,"B",R318&gt;=50,"C",R318&gt;=45,"D",R318&gt;=40,"E",R318&lt;40,"F")</f>
        <v>C</v>
      </c>
      <c r="S319" s="51" t="str" cm="1">
        <f t="array" ref="S319">_xlfn.IFS(S318&gt;= 70,"A",S318&gt;=60,"B",S318&gt;=50,"C",S318&gt;=45,"D",S318&gt;=40,"E",S318&lt;40,"F")</f>
        <v>C</v>
      </c>
      <c r="T319" s="51" t="str" cm="1">
        <f t="array" ref="T319">_xlfn.IFS(T318&gt;= 70,"A",T318&gt;=60,"B",T318&gt;=50,"C",T318&gt;=45,"D",T318&gt;=40,"E",T318&lt;40,"F")</f>
        <v>C</v>
      </c>
      <c r="U319" s="51" t="str" cm="1">
        <f t="array" ref="U319">_xlfn.IFS(U318&gt;= 70,"A",U318&gt;=60,"B",U318&gt;=50,"C",U318&gt;=45,"D",U318&gt;=40,"E",U318&lt;40,"F")</f>
        <v>C</v>
      </c>
      <c r="V319" s="51" t="str" cm="1">
        <f t="array" ref="V319">_xlfn.IFS(V318&gt;= 70,"A",V318&gt;=60,"B",V318&gt;=50,"C",V318&gt;=45,"D",V318&gt;=40,"E",V318&lt;40,"F")</f>
        <v>C</v>
      </c>
      <c r="W319" s="50" t="str" cm="1">
        <f t="array" ref="W319">_xlfn.IFS(W318&gt;= 70,"A",W318&gt;=60,"B",W318&gt;=50,"C",W318&gt;=45,"D",W318&gt;=40,"E",W318&lt;40,"F")</f>
        <v>C</v>
      </c>
      <c r="X319" s="7"/>
      <c r="Y319" s="7"/>
      <c r="Z319" s="7"/>
      <c r="AA319" s="7"/>
      <c r="AB319" s="7"/>
      <c r="AC319" s="7"/>
      <c r="AD319" s="7"/>
      <c r="AE319" s="7"/>
      <c r="AF319" s="7"/>
      <c r="AM319" s="56">
        <f t="shared" ref="AM319" si="621">SUMIFS($I$4:$W$4,I318:W318,"&gt;0")</f>
        <v>23</v>
      </c>
      <c r="AN319" s="47">
        <f t="shared" ref="AN319" si="622">(SUMIFS($I$4:$W$4,I318:W318,"&gt;0")-SUMIFS($I$4:$W$4,I319:W319,"F"))</f>
        <v>23</v>
      </c>
      <c r="AO319" s="56">
        <f t="shared" ref="AO319" si="623">SUMIFS($I$4:$W$4,I319:W319,"F")</f>
        <v>0</v>
      </c>
      <c r="AP319" s="76"/>
      <c r="AQ319" s="74"/>
      <c r="AR319" s="71"/>
    </row>
    <row r="320" spans="1:44" ht="15" thickTop="1" x14ac:dyDescent="0.3">
      <c r="A320" s="68">
        <v>158</v>
      </c>
      <c r="B320" s="70"/>
      <c r="C320" s="75"/>
      <c r="D320" s="84"/>
      <c r="E320" s="84"/>
      <c r="F320" s="84"/>
      <c r="G320" s="84"/>
      <c r="H320" s="85"/>
      <c r="I320" s="49">
        <v>56</v>
      </c>
      <c r="J320" s="49">
        <v>46</v>
      </c>
      <c r="K320" s="49">
        <v>47</v>
      </c>
      <c r="L320" s="49">
        <v>48</v>
      </c>
      <c r="M320" s="49">
        <v>49</v>
      </c>
      <c r="N320" s="49">
        <v>50</v>
      </c>
      <c r="O320" s="49">
        <v>51</v>
      </c>
      <c r="P320" s="49">
        <v>52</v>
      </c>
      <c r="Q320" s="49">
        <v>53</v>
      </c>
      <c r="R320" s="49">
        <v>54</v>
      </c>
      <c r="S320" s="49">
        <v>55</v>
      </c>
      <c r="T320" s="49">
        <v>56</v>
      </c>
      <c r="U320" s="49">
        <v>57</v>
      </c>
      <c r="V320" s="49">
        <v>58</v>
      </c>
      <c r="W320" s="49">
        <v>59</v>
      </c>
      <c r="X320" s="7"/>
      <c r="Y320" s="7"/>
      <c r="Z320" s="7"/>
      <c r="AA320" s="7"/>
      <c r="AB320" s="7"/>
      <c r="AC320" s="7"/>
      <c r="AD320" s="7"/>
      <c r="AE320" s="7"/>
      <c r="AF320" s="7"/>
      <c r="AM320" s="59"/>
      <c r="AN320" s="46"/>
      <c r="AO320" s="59"/>
      <c r="AP320" s="75" cm="1">
        <f t="array" ref="AP320">SUM(VLOOKUP(I321:W321,GRADEPOINT!$A$2:$B$7,2,0)*$I$4:$W$4)</f>
        <v>63</v>
      </c>
      <c r="AQ320" s="73">
        <f t="shared" ref="AQ320" si="624">ROUND(AP320/AM321,2)</f>
        <v>2.74</v>
      </c>
      <c r="AR320" s="72"/>
    </row>
    <row r="321" spans="1:44" ht="15" thickBot="1" x14ac:dyDescent="0.35">
      <c r="A321" s="69"/>
      <c r="B321" s="71"/>
      <c r="C321" s="86"/>
      <c r="D321" s="87"/>
      <c r="E321" s="87"/>
      <c r="F321" s="87"/>
      <c r="G321" s="87"/>
      <c r="H321" s="88"/>
      <c r="I321" s="51" t="str" cm="1">
        <f t="array" ref="I321">_xlfn.IFS(I320&gt;= 70,"A",I320&gt;=60,"B",I320&gt;=50,"C",I320&gt;=45,"D",I320&gt;=40,"E",I320&lt;40,"F")</f>
        <v>C</v>
      </c>
      <c r="J321" s="51" t="str" cm="1">
        <f t="array" ref="J321">_xlfn.IFS(J320&gt;= 70,"A",J320&gt;=60,"B",J320&gt;=50,"C",J320&gt;=45,"D",J320&gt;=40,"E",J320&lt;40,"F")</f>
        <v>D</v>
      </c>
      <c r="K321" s="51" t="str" cm="1">
        <f t="array" ref="K321">_xlfn.IFS(K320&gt;= 70,"A",K320&gt;=60,"B",K320&gt;=50,"C",K320&gt;=45,"D",K320&gt;=40,"E",K320&lt;40,"F")</f>
        <v>D</v>
      </c>
      <c r="L321" s="50" t="str" cm="1">
        <f t="array" ref="L321">_xlfn.IFS(L320&gt;= 70,"A",L320&gt;=60,"B",L320&gt;=50,"C",L320&gt;=45,"D",L320&gt;=40,"E",L320&lt;40,"F")</f>
        <v>D</v>
      </c>
      <c r="M321" s="51" t="str" cm="1">
        <f t="array" ref="M321">_xlfn.IFS(M320&gt;= 70,"A",M320&gt;=60,"B",M320&gt;=50,"C",M320&gt;=45,"D",M320&gt;=40,"E",M320&lt;40,"F")</f>
        <v>D</v>
      </c>
      <c r="N321" s="51" t="str" cm="1">
        <f t="array" ref="N321">_xlfn.IFS(N320&gt;= 70,"A",N320&gt;=60,"B",N320&gt;=50,"C",N320&gt;=45,"D",N320&gt;=40,"E",N320&lt;40,"F")</f>
        <v>C</v>
      </c>
      <c r="O321" s="51" t="str" cm="1">
        <f t="array" ref="O321">_xlfn.IFS(O320&gt;= 70,"A",O320&gt;=60,"B",O320&gt;=50,"C",O320&gt;=45,"D",O320&gt;=40,"E",O320&lt;40,"F")</f>
        <v>C</v>
      </c>
      <c r="P321" s="51" t="str" cm="1">
        <f t="array" ref="P321">_xlfn.IFS(P320&gt;= 70,"A",P320&gt;=60,"B",P320&gt;=50,"C",P320&gt;=45,"D",P320&gt;=40,"E",P320&lt;40,"F")</f>
        <v>C</v>
      </c>
      <c r="Q321" s="51" t="str" cm="1">
        <f t="array" ref="Q321">_xlfn.IFS(Q320&gt;= 70,"A",Q320&gt;=60,"B",Q320&gt;=50,"C",Q320&gt;=45,"D",Q320&gt;=40,"E",Q320&lt;40,"F")</f>
        <v>C</v>
      </c>
      <c r="R321" s="51" t="str" cm="1">
        <f t="array" ref="R321">_xlfn.IFS(R320&gt;= 70,"A",R320&gt;=60,"B",R320&gt;=50,"C",R320&gt;=45,"D",R320&gt;=40,"E",R320&lt;40,"F")</f>
        <v>C</v>
      </c>
      <c r="S321" s="51" t="str" cm="1">
        <f t="array" ref="S321">_xlfn.IFS(S320&gt;= 70,"A",S320&gt;=60,"B",S320&gt;=50,"C",S320&gt;=45,"D",S320&gt;=40,"E",S320&lt;40,"F")</f>
        <v>C</v>
      </c>
      <c r="T321" s="51" t="str" cm="1">
        <f t="array" ref="T321">_xlfn.IFS(T320&gt;= 70,"A",T320&gt;=60,"B",T320&gt;=50,"C",T320&gt;=45,"D",T320&gt;=40,"E",T320&lt;40,"F")</f>
        <v>C</v>
      </c>
      <c r="U321" s="51" t="str" cm="1">
        <f t="array" ref="U321">_xlfn.IFS(U320&gt;= 70,"A",U320&gt;=60,"B",U320&gt;=50,"C",U320&gt;=45,"D",U320&gt;=40,"E",U320&lt;40,"F")</f>
        <v>C</v>
      </c>
      <c r="V321" s="51" t="str" cm="1">
        <f t="array" ref="V321">_xlfn.IFS(V320&gt;= 70,"A",V320&gt;=60,"B",V320&gt;=50,"C",V320&gt;=45,"D",V320&gt;=40,"E",V320&lt;40,"F")</f>
        <v>C</v>
      </c>
      <c r="W321" s="50" t="str" cm="1">
        <f t="array" ref="W321">_xlfn.IFS(W320&gt;= 70,"A",W320&gt;=60,"B",W320&gt;=50,"C",W320&gt;=45,"D",W320&gt;=40,"E",W320&lt;40,"F")</f>
        <v>C</v>
      </c>
      <c r="X321" s="7"/>
      <c r="Y321" s="7"/>
      <c r="Z321" s="7"/>
      <c r="AA321" s="7"/>
      <c r="AB321" s="7"/>
      <c r="AC321" s="7"/>
      <c r="AD321" s="7"/>
      <c r="AE321" s="7"/>
      <c r="AF321" s="7"/>
      <c r="AM321" s="56">
        <f t="shared" ref="AM321" si="625">SUMIFS($I$4:$W$4,I320:W320,"&gt;0")</f>
        <v>23</v>
      </c>
      <c r="AN321" s="47">
        <f t="shared" ref="AN321" si="626">(SUMIFS($I$4:$W$4,I320:W320,"&gt;0")-SUMIFS($I$4:$W$4,I321:W321,"F"))</f>
        <v>23</v>
      </c>
      <c r="AO321" s="56">
        <f t="shared" ref="AO321" si="627">SUMIFS($I$4:$W$4,I321:W321,"F")</f>
        <v>0</v>
      </c>
      <c r="AP321" s="76"/>
      <c r="AQ321" s="74"/>
      <c r="AR321" s="71"/>
    </row>
    <row r="322" spans="1:44" ht="15" thickTop="1" x14ac:dyDescent="0.3">
      <c r="A322" s="68">
        <v>159</v>
      </c>
      <c r="B322" s="70"/>
      <c r="C322" s="75"/>
      <c r="D322" s="84"/>
      <c r="E322" s="84"/>
      <c r="F322" s="84"/>
      <c r="G322" s="84"/>
      <c r="H322" s="85"/>
      <c r="I322" s="49">
        <v>56</v>
      </c>
      <c r="J322" s="49">
        <v>46</v>
      </c>
      <c r="K322" s="49">
        <v>47</v>
      </c>
      <c r="L322" s="49">
        <v>48</v>
      </c>
      <c r="M322" s="49">
        <v>49</v>
      </c>
      <c r="N322" s="49">
        <v>50</v>
      </c>
      <c r="O322" s="49">
        <v>51</v>
      </c>
      <c r="P322" s="49">
        <v>52</v>
      </c>
      <c r="Q322" s="49">
        <v>53</v>
      </c>
      <c r="R322" s="49">
        <v>54</v>
      </c>
      <c r="S322" s="49">
        <v>55</v>
      </c>
      <c r="T322" s="49">
        <v>56</v>
      </c>
      <c r="U322" s="49">
        <v>57</v>
      </c>
      <c r="V322" s="49">
        <v>58</v>
      </c>
      <c r="W322" s="49">
        <v>59</v>
      </c>
      <c r="X322" s="7"/>
      <c r="Y322" s="7"/>
      <c r="Z322" s="7"/>
      <c r="AA322" s="7"/>
      <c r="AB322" s="7"/>
      <c r="AC322" s="7"/>
      <c r="AD322" s="7"/>
      <c r="AE322" s="7"/>
      <c r="AF322" s="7"/>
      <c r="AM322" s="59"/>
      <c r="AN322" s="46"/>
      <c r="AO322" s="59"/>
      <c r="AP322" s="75" cm="1">
        <f t="array" ref="AP322">SUM(VLOOKUP(I323:W323,GRADEPOINT!$A$2:$B$7,2,0)*$I$4:$W$4)</f>
        <v>63</v>
      </c>
      <c r="AQ322" s="73">
        <f t="shared" ref="AQ322" si="628">ROUND(AP322/AM323,2)</f>
        <v>2.74</v>
      </c>
      <c r="AR322" s="72"/>
    </row>
    <row r="323" spans="1:44" ht="15" thickBot="1" x14ac:dyDescent="0.35">
      <c r="A323" s="69"/>
      <c r="B323" s="71"/>
      <c r="C323" s="86"/>
      <c r="D323" s="87"/>
      <c r="E323" s="87"/>
      <c r="F323" s="87"/>
      <c r="G323" s="87"/>
      <c r="H323" s="88"/>
      <c r="I323" s="51" t="str" cm="1">
        <f t="array" ref="I323">_xlfn.IFS(I322&gt;= 70,"A",I322&gt;=60,"B",I322&gt;=50,"C",I322&gt;=45,"D",I322&gt;=40,"E",I322&lt;40,"F")</f>
        <v>C</v>
      </c>
      <c r="J323" s="51" t="str" cm="1">
        <f t="array" ref="J323">_xlfn.IFS(J322&gt;= 70,"A",J322&gt;=60,"B",J322&gt;=50,"C",J322&gt;=45,"D",J322&gt;=40,"E",J322&lt;40,"F")</f>
        <v>D</v>
      </c>
      <c r="K323" s="51" t="str" cm="1">
        <f t="array" ref="K323">_xlfn.IFS(K322&gt;= 70,"A",K322&gt;=60,"B",K322&gt;=50,"C",K322&gt;=45,"D",K322&gt;=40,"E",K322&lt;40,"F")</f>
        <v>D</v>
      </c>
      <c r="L323" s="50" t="str" cm="1">
        <f t="array" ref="L323">_xlfn.IFS(L322&gt;= 70,"A",L322&gt;=60,"B",L322&gt;=50,"C",L322&gt;=45,"D",L322&gt;=40,"E",L322&lt;40,"F")</f>
        <v>D</v>
      </c>
      <c r="M323" s="51" t="str" cm="1">
        <f t="array" ref="M323">_xlfn.IFS(M322&gt;= 70,"A",M322&gt;=60,"B",M322&gt;=50,"C",M322&gt;=45,"D",M322&gt;=40,"E",M322&lt;40,"F")</f>
        <v>D</v>
      </c>
      <c r="N323" s="51" t="str" cm="1">
        <f t="array" ref="N323">_xlfn.IFS(N322&gt;= 70,"A",N322&gt;=60,"B",N322&gt;=50,"C",N322&gt;=45,"D",N322&gt;=40,"E",N322&lt;40,"F")</f>
        <v>C</v>
      </c>
      <c r="O323" s="51" t="str" cm="1">
        <f t="array" ref="O323">_xlfn.IFS(O322&gt;= 70,"A",O322&gt;=60,"B",O322&gt;=50,"C",O322&gt;=45,"D",O322&gt;=40,"E",O322&lt;40,"F")</f>
        <v>C</v>
      </c>
      <c r="P323" s="51" t="str" cm="1">
        <f t="array" ref="P323">_xlfn.IFS(P322&gt;= 70,"A",P322&gt;=60,"B",P322&gt;=50,"C",P322&gt;=45,"D",P322&gt;=40,"E",P322&lt;40,"F")</f>
        <v>C</v>
      </c>
      <c r="Q323" s="51" t="str" cm="1">
        <f t="array" ref="Q323">_xlfn.IFS(Q322&gt;= 70,"A",Q322&gt;=60,"B",Q322&gt;=50,"C",Q322&gt;=45,"D",Q322&gt;=40,"E",Q322&lt;40,"F")</f>
        <v>C</v>
      </c>
      <c r="R323" s="51" t="str" cm="1">
        <f t="array" ref="R323">_xlfn.IFS(R322&gt;= 70,"A",R322&gt;=60,"B",R322&gt;=50,"C",R322&gt;=45,"D",R322&gt;=40,"E",R322&lt;40,"F")</f>
        <v>C</v>
      </c>
      <c r="S323" s="51" t="str" cm="1">
        <f t="array" ref="S323">_xlfn.IFS(S322&gt;= 70,"A",S322&gt;=60,"B",S322&gt;=50,"C",S322&gt;=45,"D",S322&gt;=40,"E",S322&lt;40,"F")</f>
        <v>C</v>
      </c>
      <c r="T323" s="51" t="str" cm="1">
        <f t="array" ref="T323">_xlfn.IFS(T322&gt;= 70,"A",T322&gt;=60,"B",T322&gt;=50,"C",T322&gt;=45,"D",T322&gt;=40,"E",T322&lt;40,"F")</f>
        <v>C</v>
      </c>
      <c r="U323" s="51" t="str" cm="1">
        <f t="array" ref="U323">_xlfn.IFS(U322&gt;= 70,"A",U322&gt;=60,"B",U322&gt;=50,"C",U322&gt;=45,"D",U322&gt;=40,"E",U322&lt;40,"F")</f>
        <v>C</v>
      </c>
      <c r="V323" s="51" t="str" cm="1">
        <f t="array" ref="V323">_xlfn.IFS(V322&gt;= 70,"A",V322&gt;=60,"B",V322&gt;=50,"C",V322&gt;=45,"D",V322&gt;=40,"E",V322&lt;40,"F")</f>
        <v>C</v>
      </c>
      <c r="W323" s="50" t="str" cm="1">
        <f t="array" ref="W323">_xlfn.IFS(W322&gt;= 70,"A",W322&gt;=60,"B",W322&gt;=50,"C",W322&gt;=45,"D",W322&gt;=40,"E",W322&lt;40,"F")</f>
        <v>C</v>
      </c>
      <c r="X323" s="7"/>
      <c r="Y323" s="7"/>
      <c r="Z323" s="7"/>
      <c r="AA323" s="7"/>
      <c r="AB323" s="7"/>
      <c r="AC323" s="7"/>
      <c r="AD323" s="7"/>
      <c r="AE323" s="7"/>
      <c r="AF323" s="7"/>
      <c r="AM323" s="56">
        <f t="shared" ref="AM323" si="629">SUMIFS($I$4:$W$4,I322:W322,"&gt;0")</f>
        <v>23</v>
      </c>
      <c r="AN323" s="47">
        <f t="shared" ref="AN323" si="630">(SUMIFS($I$4:$W$4,I322:W322,"&gt;0")-SUMIFS($I$4:$W$4,I323:W323,"F"))</f>
        <v>23</v>
      </c>
      <c r="AO323" s="56">
        <f t="shared" ref="AO323" si="631">SUMIFS($I$4:$W$4,I323:W323,"F")</f>
        <v>0</v>
      </c>
      <c r="AP323" s="76"/>
      <c r="AQ323" s="74"/>
      <c r="AR323" s="71"/>
    </row>
    <row r="324" spans="1:44" ht="15" thickTop="1" x14ac:dyDescent="0.3">
      <c r="A324" s="68">
        <v>160</v>
      </c>
      <c r="B324" s="70"/>
      <c r="C324" s="75"/>
      <c r="D324" s="84"/>
      <c r="E324" s="84"/>
      <c r="F324" s="84"/>
      <c r="G324" s="84"/>
      <c r="H324" s="85"/>
      <c r="I324" s="49">
        <v>56</v>
      </c>
      <c r="J324" s="49">
        <v>46</v>
      </c>
      <c r="K324" s="49">
        <v>47</v>
      </c>
      <c r="L324" s="49">
        <v>48</v>
      </c>
      <c r="M324" s="49">
        <v>49</v>
      </c>
      <c r="N324" s="49">
        <v>50</v>
      </c>
      <c r="O324" s="49">
        <v>51</v>
      </c>
      <c r="P324" s="49">
        <v>52</v>
      </c>
      <c r="Q324" s="49">
        <v>53</v>
      </c>
      <c r="R324" s="49">
        <v>54</v>
      </c>
      <c r="S324" s="49">
        <v>55</v>
      </c>
      <c r="T324" s="49">
        <v>56</v>
      </c>
      <c r="U324" s="49">
        <v>57</v>
      </c>
      <c r="V324" s="49">
        <v>58</v>
      </c>
      <c r="W324" s="49">
        <v>59</v>
      </c>
      <c r="X324" s="7"/>
      <c r="Y324" s="7"/>
      <c r="Z324" s="7"/>
      <c r="AA324" s="7"/>
      <c r="AB324" s="7"/>
      <c r="AC324" s="7"/>
      <c r="AD324" s="7"/>
      <c r="AE324" s="7"/>
      <c r="AF324" s="7"/>
      <c r="AM324" s="59"/>
      <c r="AN324" s="46"/>
      <c r="AO324" s="59"/>
      <c r="AP324" s="75" cm="1">
        <f t="array" ref="AP324">SUM(VLOOKUP(I325:W325,GRADEPOINT!$A$2:$B$7,2,0)*$I$4:$W$4)</f>
        <v>63</v>
      </c>
      <c r="AQ324" s="73">
        <f t="shared" ref="AQ324" si="632">ROUND(AP324/AM325,2)</f>
        <v>2.74</v>
      </c>
      <c r="AR324" s="72"/>
    </row>
    <row r="325" spans="1:44" ht="15" thickBot="1" x14ac:dyDescent="0.35">
      <c r="A325" s="69"/>
      <c r="B325" s="71"/>
      <c r="C325" s="86"/>
      <c r="D325" s="87"/>
      <c r="E325" s="87"/>
      <c r="F325" s="87"/>
      <c r="G325" s="87"/>
      <c r="H325" s="88"/>
      <c r="I325" s="51" t="str" cm="1">
        <f t="array" ref="I325">_xlfn.IFS(I324&gt;= 70,"A",I324&gt;=60,"B",I324&gt;=50,"C",I324&gt;=45,"D",I324&gt;=40,"E",I324&lt;40,"F")</f>
        <v>C</v>
      </c>
      <c r="J325" s="51" t="str" cm="1">
        <f t="array" ref="J325">_xlfn.IFS(J324&gt;= 70,"A",J324&gt;=60,"B",J324&gt;=50,"C",J324&gt;=45,"D",J324&gt;=40,"E",J324&lt;40,"F")</f>
        <v>D</v>
      </c>
      <c r="K325" s="51" t="str" cm="1">
        <f t="array" ref="K325">_xlfn.IFS(K324&gt;= 70,"A",K324&gt;=60,"B",K324&gt;=50,"C",K324&gt;=45,"D",K324&gt;=40,"E",K324&lt;40,"F")</f>
        <v>D</v>
      </c>
      <c r="L325" s="50" t="str" cm="1">
        <f t="array" ref="L325">_xlfn.IFS(L324&gt;= 70,"A",L324&gt;=60,"B",L324&gt;=50,"C",L324&gt;=45,"D",L324&gt;=40,"E",L324&lt;40,"F")</f>
        <v>D</v>
      </c>
      <c r="M325" s="51" t="str" cm="1">
        <f t="array" ref="M325">_xlfn.IFS(M324&gt;= 70,"A",M324&gt;=60,"B",M324&gt;=50,"C",M324&gt;=45,"D",M324&gt;=40,"E",M324&lt;40,"F")</f>
        <v>D</v>
      </c>
      <c r="N325" s="51" t="str" cm="1">
        <f t="array" ref="N325">_xlfn.IFS(N324&gt;= 70,"A",N324&gt;=60,"B",N324&gt;=50,"C",N324&gt;=45,"D",N324&gt;=40,"E",N324&lt;40,"F")</f>
        <v>C</v>
      </c>
      <c r="O325" s="51" t="str" cm="1">
        <f t="array" ref="O325">_xlfn.IFS(O324&gt;= 70,"A",O324&gt;=60,"B",O324&gt;=50,"C",O324&gt;=45,"D",O324&gt;=40,"E",O324&lt;40,"F")</f>
        <v>C</v>
      </c>
      <c r="P325" s="51" t="str" cm="1">
        <f t="array" ref="P325">_xlfn.IFS(P324&gt;= 70,"A",P324&gt;=60,"B",P324&gt;=50,"C",P324&gt;=45,"D",P324&gt;=40,"E",P324&lt;40,"F")</f>
        <v>C</v>
      </c>
      <c r="Q325" s="51" t="str" cm="1">
        <f t="array" ref="Q325">_xlfn.IFS(Q324&gt;= 70,"A",Q324&gt;=60,"B",Q324&gt;=50,"C",Q324&gt;=45,"D",Q324&gt;=40,"E",Q324&lt;40,"F")</f>
        <v>C</v>
      </c>
      <c r="R325" s="51" t="str" cm="1">
        <f t="array" ref="R325">_xlfn.IFS(R324&gt;= 70,"A",R324&gt;=60,"B",R324&gt;=50,"C",R324&gt;=45,"D",R324&gt;=40,"E",R324&lt;40,"F")</f>
        <v>C</v>
      </c>
      <c r="S325" s="51" t="str" cm="1">
        <f t="array" ref="S325">_xlfn.IFS(S324&gt;= 70,"A",S324&gt;=60,"B",S324&gt;=50,"C",S324&gt;=45,"D",S324&gt;=40,"E",S324&lt;40,"F")</f>
        <v>C</v>
      </c>
      <c r="T325" s="51" t="str" cm="1">
        <f t="array" ref="T325">_xlfn.IFS(T324&gt;= 70,"A",T324&gt;=60,"B",T324&gt;=50,"C",T324&gt;=45,"D",T324&gt;=40,"E",T324&lt;40,"F")</f>
        <v>C</v>
      </c>
      <c r="U325" s="51" t="str" cm="1">
        <f t="array" ref="U325">_xlfn.IFS(U324&gt;= 70,"A",U324&gt;=60,"B",U324&gt;=50,"C",U324&gt;=45,"D",U324&gt;=40,"E",U324&lt;40,"F")</f>
        <v>C</v>
      </c>
      <c r="V325" s="51" t="str" cm="1">
        <f t="array" ref="V325">_xlfn.IFS(V324&gt;= 70,"A",V324&gt;=60,"B",V324&gt;=50,"C",V324&gt;=45,"D",V324&gt;=40,"E",V324&lt;40,"F")</f>
        <v>C</v>
      </c>
      <c r="W325" s="50" t="str" cm="1">
        <f t="array" ref="W325">_xlfn.IFS(W324&gt;= 70,"A",W324&gt;=60,"B",W324&gt;=50,"C",W324&gt;=45,"D",W324&gt;=40,"E",W324&lt;40,"F")</f>
        <v>C</v>
      </c>
      <c r="X325" s="7"/>
      <c r="Y325" s="7"/>
      <c r="Z325" s="7"/>
      <c r="AA325" s="7"/>
      <c r="AB325" s="7"/>
      <c r="AC325" s="7"/>
      <c r="AD325" s="7"/>
      <c r="AE325" s="7"/>
      <c r="AF325" s="7"/>
      <c r="AM325" s="56">
        <f t="shared" ref="AM325" si="633">SUMIFS($I$4:$W$4,I324:W324,"&gt;0")</f>
        <v>23</v>
      </c>
      <c r="AN325" s="47">
        <f t="shared" ref="AN325" si="634">(SUMIFS($I$4:$W$4,I324:W324,"&gt;0")-SUMIFS($I$4:$W$4,I325:W325,"F"))</f>
        <v>23</v>
      </c>
      <c r="AO325" s="56">
        <f t="shared" ref="AO325" si="635">SUMIFS($I$4:$W$4,I325:W325,"F")</f>
        <v>0</v>
      </c>
      <c r="AP325" s="76"/>
      <c r="AQ325" s="74"/>
      <c r="AR325" s="71"/>
    </row>
    <row r="326" spans="1:44" ht="15" thickTop="1" x14ac:dyDescent="0.3">
      <c r="A326" s="68">
        <v>161</v>
      </c>
      <c r="B326" s="70"/>
      <c r="C326" s="75"/>
      <c r="D326" s="84"/>
      <c r="E326" s="84"/>
      <c r="F326" s="84"/>
      <c r="G326" s="84"/>
      <c r="H326" s="85"/>
      <c r="I326" s="49">
        <v>56</v>
      </c>
      <c r="J326" s="49">
        <v>46</v>
      </c>
      <c r="K326" s="49">
        <v>47</v>
      </c>
      <c r="L326" s="49">
        <v>48</v>
      </c>
      <c r="M326" s="49">
        <v>49</v>
      </c>
      <c r="N326" s="49">
        <v>50</v>
      </c>
      <c r="O326" s="49">
        <v>51</v>
      </c>
      <c r="P326" s="49">
        <v>52</v>
      </c>
      <c r="Q326" s="49">
        <v>53</v>
      </c>
      <c r="R326" s="49">
        <v>54</v>
      </c>
      <c r="S326" s="49">
        <v>55</v>
      </c>
      <c r="T326" s="49">
        <v>56</v>
      </c>
      <c r="U326" s="49">
        <v>57</v>
      </c>
      <c r="V326" s="49">
        <v>58</v>
      </c>
      <c r="W326" s="49">
        <v>59</v>
      </c>
      <c r="X326" s="7"/>
      <c r="Y326" s="7"/>
      <c r="Z326" s="7"/>
      <c r="AA326" s="7"/>
      <c r="AB326" s="7"/>
      <c r="AC326" s="7"/>
      <c r="AD326" s="7"/>
      <c r="AE326" s="7"/>
      <c r="AF326" s="7"/>
      <c r="AM326" s="59"/>
      <c r="AN326" s="46"/>
      <c r="AO326" s="59"/>
      <c r="AP326" s="72" cm="1">
        <f t="array" ref="AP326">SUM(VLOOKUP(I327:W327,GRADEPOINT!$A$2:$B$7,2,0)*$I$4:$W$4)</f>
        <v>63</v>
      </c>
      <c r="AQ326" s="73">
        <f t="shared" ref="AQ326" si="636">ROUND(AP326/AM327,2)</f>
        <v>2.74</v>
      </c>
      <c r="AR326" s="72"/>
    </row>
    <row r="327" spans="1:44" ht="15" thickBot="1" x14ac:dyDescent="0.35">
      <c r="A327" s="69"/>
      <c r="B327" s="71"/>
      <c r="C327" s="86"/>
      <c r="D327" s="87"/>
      <c r="E327" s="87"/>
      <c r="F327" s="87"/>
      <c r="G327" s="87"/>
      <c r="H327" s="88"/>
      <c r="I327" s="51" t="str" cm="1">
        <f t="array" ref="I327">_xlfn.IFS(I326&gt;= 70,"A",I326&gt;=60,"B",I326&gt;=50,"C",I326&gt;=45,"D",I326&gt;=40,"E",I326&lt;40,"F")</f>
        <v>C</v>
      </c>
      <c r="J327" s="51" t="str" cm="1">
        <f t="array" ref="J327">_xlfn.IFS(J326&gt;= 70,"A",J326&gt;=60,"B",J326&gt;=50,"C",J326&gt;=45,"D",J326&gt;=40,"E",J326&lt;40,"F")</f>
        <v>D</v>
      </c>
      <c r="K327" s="51" t="str" cm="1">
        <f t="array" ref="K327">_xlfn.IFS(K326&gt;= 70,"A",K326&gt;=60,"B",K326&gt;=50,"C",K326&gt;=45,"D",K326&gt;=40,"E",K326&lt;40,"F")</f>
        <v>D</v>
      </c>
      <c r="L327" s="51" t="str" cm="1">
        <f t="array" ref="L327">_xlfn.IFS(L326&gt;= 70,"A",L326&gt;=60,"B",L326&gt;=50,"C",L326&gt;=45,"D",L326&gt;=40,"E",L326&lt;40,"F")</f>
        <v>D</v>
      </c>
      <c r="M327" s="51" t="str" cm="1">
        <f t="array" ref="M327">_xlfn.IFS(M326&gt;= 70,"A",M326&gt;=60,"B",M326&gt;=50,"C",M326&gt;=45,"D",M326&gt;=40,"E",M326&lt;40,"F")</f>
        <v>D</v>
      </c>
      <c r="N327" s="51" t="str" cm="1">
        <f t="array" ref="N327">_xlfn.IFS(N326&gt;= 70,"A",N326&gt;=60,"B",N326&gt;=50,"C",N326&gt;=45,"D",N326&gt;=40,"E",N326&lt;40,"F")</f>
        <v>C</v>
      </c>
      <c r="O327" s="51" t="str" cm="1">
        <f t="array" ref="O327">_xlfn.IFS(O326&gt;= 70,"A",O326&gt;=60,"B",O326&gt;=50,"C",O326&gt;=45,"D",O326&gt;=40,"E",O326&lt;40,"F")</f>
        <v>C</v>
      </c>
      <c r="P327" s="51" t="str" cm="1">
        <f t="array" ref="P327">_xlfn.IFS(P326&gt;= 70,"A",P326&gt;=60,"B",P326&gt;=50,"C",P326&gt;=45,"D",P326&gt;=40,"E",P326&lt;40,"F")</f>
        <v>C</v>
      </c>
      <c r="Q327" s="51" t="str" cm="1">
        <f t="array" ref="Q327">_xlfn.IFS(Q326&gt;= 70,"A",Q326&gt;=60,"B",Q326&gt;=50,"C",Q326&gt;=45,"D",Q326&gt;=40,"E",Q326&lt;40,"F")</f>
        <v>C</v>
      </c>
      <c r="R327" s="51" t="str" cm="1">
        <f t="array" ref="R327">_xlfn.IFS(R326&gt;= 70,"A",R326&gt;=60,"B",R326&gt;=50,"C",R326&gt;=45,"D",R326&gt;=40,"E",R326&lt;40,"F")</f>
        <v>C</v>
      </c>
      <c r="S327" s="51" t="str" cm="1">
        <f t="array" ref="S327">_xlfn.IFS(S326&gt;= 70,"A",S326&gt;=60,"B",S326&gt;=50,"C",S326&gt;=45,"D",S326&gt;=40,"E",S326&lt;40,"F")</f>
        <v>C</v>
      </c>
      <c r="T327" s="51" t="str" cm="1">
        <f t="array" ref="T327">_xlfn.IFS(T326&gt;= 70,"A",T326&gt;=60,"B",T326&gt;=50,"C",T326&gt;=45,"D",T326&gt;=40,"E",T326&lt;40,"F")</f>
        <v>C</v>
      </c>
      <c r="U327" s="51" t="str" cm="1">
        <f t="array" ref="U327">_xlfn.IFS(U326&gt;= 70,"A",U326&gt;=60,"B",U326&gt;=50,"C",U326&gt;=45,"D",U326&gt;=40,"E",U326&lt;40,"F")</f>
        <v>C</v>
      </c>
      <c r="V327" s="51" t="str" cm="1">
        <f t="array" ref="V327">_xlfn.IFS(V326&gt;= 70,"A",V326&gt;=60,"B",V326&gt;=50,"C",V326&gt;=45,"D",V326&gt;=40,"E",V326&lt;40,"F")</f>
        <v>C</v>
      </c>
      <c r="W327" s="50" t="str" cm="1">
        <f t="array" ref="W327">_xlfn.IFS(W326&gt;= 70,"A",W326&gt;=60,"B",W326&gt;=50,"C",W326&gt;=45,"D",W326&gt;=40,"E",W326&lt;40,"F")</f>
        <v>C</v>
      </c>
      <c r="X327" s="7"/>
      <c r="Y327" s="7"/>
      <c r="Z327" s="7"/>
      <c r="AA327" s="7"/>
      <c r="AB327" s="7"/>
      <c r="AC327" s="7"/>
      <c r="AD327" s="7"/>
      <c r="AE327" s="7"/>
      <c r="AF327" s="7"/>
      <c r="AM327" s="56">
        <f t="shared" ref="AM327" si="637">SUMIFS($I$4:$W$4,I326:W326,"&gt;0")</f>
        <v>23</v>
      </c>
      <c r="AN327" s="47">
        <f t="shared" ref="AN327" si="638">(SUMIFS($I$4:$W$4,I326:W326,"&gt;0")-SUMIFS($I$4:$W$4,I327:W327,"F"))</f>
        <v>23</v>
      </c>
      <c r="AO327" s="56">
        <f t="shared" ref="AO327" si="639">SUMIFS($I$4:$W$4,I327:W327,"F")</f>
        <v>0</v>
      </c>
      <c r="AP327" s="71"/>
      <c r="AQ327" s="74"/>
      <c r="AR327" s="71"/>
    </row>
    <row r="328" spans="1:44" ht="15" thickTop="1" x14ac:dyDescent="0.3">
      <c r="B328" s="57"/>
      <c r="U328"/>
      <c r="V328"/>
      <c r="W328" s="25"/>
      <c r="AQ328" s="25"/>
    </row>
    <row r="329" spans="1:44" x14ac:dyDescent="0.3">
      <c r="B329" s="57"/>
      <c r="U329"/>
      <c r="V329"/>
    </row>
    <row r="330" spans="1:44" x14ac:dyDescent="0.3">
      <c r="B330" s="57"/>
      <c r="U330"/>
      <c r="V330"/>
    </row>
    <row r="331" spans="1:44" x14ac:dyDescent="0.3">
      <c r="B331" s="57"/>
      <c r="U331"/>
      <c r="V331"/>
    </row>
    <row r="332" spans="1:44" x14ac:dyDescent="0.3">
      <c r="B332" s="57"/>
      <c r="U332"/>
      <c r="V332"/>
    </row>
    <row r="333" spans="1:44" x14ac:dyDescent="0.3">
      <c r="B333" s="57"/>
      <c r="U333"/>
      <c r="V333"/>
    </row>
    <row r="334" spans="1:44" x14ac:dyDescent="0.3">
      <c r="B334" s="57"/>
      <c r="U334"/>
      <c r="V334"/>
    </row>
    <row r="335" spans="1:44" x14ac:dyDescent="0.3">
      <c r="B335" s="57"/>
      <c r="U335"/>
      <c r="V335"/>
    </row>
    <row r="336" spans="1:44" x14ac:dyDescent="0.3">
      <c r="B336" s="57"/>
      <c r="U336"/>
      <c r="V336"/>
    </row>
    <row r="337" spans="2:22" x14ac:dyDescent="0.3">
      <c r="B337" s="57"/>
      <c r="U337"/>
      <c r="V337"/>
    </row>
    <row r="338" spans="2:22" x14ac:dyDescent="0.3">
      <c r="B338" s="57"/>
      <c r="U338"/>
      <c r="V338"/>
    </row>
    <row r="339" spans="2:22" x14ac:dyDescent="0.3">
      <c r="B339" s="57"/>
      <c r="U339"/>
      <c r="V339"/>
    </row>
    <row r="340" spans="2:22" x14ac:dyDescent="0.3">
      <c r="B340" s="57"/>
      <c r="U340"/>
      <c r="V340"/>
    </row>
    <row r="341" spans="2:22" x14ac:dyDescent="0.3">
      <c r="B341" s="57"/>
      <c r="U341"/>
      <c r="V341"/>
    </row>
    <row r="342" spans="2:22" x14ac:dyDescent="0.3">
      <c r="B342" s="57"/>
      <c r="U342"/>
      <c r="V342"/>
    </row>
    <row r="343" spans="2:22" x14ac:dyDescent="0.3">
      <c r="B343" s="57"/>
      <c r="U343"/>
      <c r="V343"/>
    </row>
    <row r="344" spans="2:22" x14ac:dyDescent="0.3">
      <c r="B344" s="57"/>
      <c r="U344"/>
      <c r="V344"/>
    </row>
    <row r="345" spans="2:22" x14ac:dyDescent="0.3">
      <c r="B345" s="57"/>
      <c r="U345"/>
      <c r="V345"/>
    </row>
    <row r="346" spans="2:22" x14ac:dyDescent="0.3">
      <c r="B346" s="57"/>
      <c r="U346"/>
      <c r="V346"/>
    </row>
    <row r="347" spans="2:22" x14ac:dyDescent="0.3">
      <c r="B347" s="57"/>
      <c r="U347"/>
      <c r="V347"/>
    </row>
    <row r="348" spans="2:22" x14ac:dyDescent="0.3">
      <c r="B348" s="57"/>
      <c r="U348"/>
      <c r="V348"/>
    </row>
    <row r="349" spans="2:22" x14ac:dyDescent="0.3">
      <c r="B349" s="57"/>
      <c r="U349"/>
      <c r="V349"/>
    </row>
    <row r="350" spans="2:22" x14ac:dyDescent="0.3">
      <c r="B350" s="57"/>
      <c r="U350"/>
      <c r="V350"/>
    </row>
    <row r="351" spans="2:22" x14ac:dyDescent="0.3">
      <c r="B351" s="57"/>
      <c r="U351"/>
      <c r="V351"/>
    </row>
    <row r="352" spans="2:22" x14ac:dyDescent="0.3">
      <c r="B352" s="58"/>
      <c r="U352"/>
      <c r="V352"/>
    </row>
    <row r="353" spans="21:22" x14ac:dyDescent="0.3">
      <c r="U353"/>
      <c r="V353"/>
    </row>
    <row r="354" spans="21:22" x14ac:dyDescent="0.3">
      <c r="U354"/>
      <c r="V354"/>
    </row>
    <row r="355" spans="21:22" x14ac:dyDescent="0.3">
      <c r="U355"/>
      <c r="V355"/>
    </row>
    <row r="356" spans="21:22" x14ac:dyDescent="0.3">
      <c r="U356"/>
      <c r="V356"/>
    </row>
    <row r="357" spans="21:22" x14ac:dyDescent="0.3">
      <c r="U357"/>
      <c r="V357"/>
    </row>
    <row r="358" spans="21:22" x14ac:dyDescent="0.3">
      <c r="U358"/>
      <c r="V358"/>
    </row>
    <row r="359" spans="21:22" x14ac:dyDescent="0.3">
      <c r="U359"/>
      <c r="V359"/>
    </row>
  </sheetData>
  <mergeCells count="977">
    <mergeCell ref="C68:H69"/>
    <mergeCell ref="C70:H71"/>
    <mergeCell ref="C72:H73"/>
    <mergeCell ref="C74:H75"/>
    <mergeCell ref="C10:H11"/>
    <mergeCell ref="C12:H13"/>
    <mergeCell ref="C14:H15"/>
    <mergeCell ref="C16:H17"/>
    <mergeCell ref="C18:H19"/>
    <mergeCell ref="C20:H21"/>
    <mergeCell ref="C22:H23"/>
    <mergeCell ref="C64:H65"/>
    <mergeCell ref="C66:H67"/>
    <mergeCell ref="G1:AR1"/>
    <mergeCell ref="G4:H4"/>
    <mergeCell ref="C5:H5"/>
    <mergeCell ref="G2:H3"/>
    <mergeCell ref="C6:H7"/>
    <mergeCell ref="I5:AF5"/>
    <mergeCell ref="B6:B7"/>
    <mergeCell ref="A6:A7"/>
    <mergeCell ref="C8:H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80:B81"/>
    <mergeCell ref="B82:B83"/>
    <mergeCell ref="B84:B85"/>
    <mergeCell ref="B86:B87"/>
    <mergeCell ref="B88:B89"/>
    <mergeCell ref="B90:B91"/>
    <mergeCell ref="B92:B93"/>
    <mergeCell ref="B94:B95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98:B99"/>
    <mergeCell ref="B176:B177"/>
    <mergeCell ref="B178:B179"/>
    <mergeCell ref="B180:B181"/>
    <mergeCell ref="B182:B183"/>
    <mergeCell ref="B184:B185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214:B215"/>
    <mergeCell ref="B216:B217"/>
    <mergeCell ref="B218:B219"/>
    <mergeCell ref="B220:B221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322:B323"/>
    <mergeCell ref="B324:B325"/>
    <mergeCell ref="B326:B327"/>
    <mergeCell ref="B302:B303"/>
    <mergeCell ref="B304:B305"/>
    <mergeCell ref="B306:B307"/>
    <mergeCell ref="B308:B309"/>
    <mergeCell ref="B310:B311"/>
    <mergeCell ref="B262:B263"/>
    <mergeCell ref="B264:B265"/>
    <mergeCell ref="B266:B267"/>
    <mergeCell ref="B268:B269"/>
    <mergeCell ref="A44:A45"/>
    <mergeCell ref="A46:A47"/>
    <mergeCell ref="A48:A49"/>
    <mergeCell ref="A50:A51"/>
    <mergeCell ref="B312:B313"/>
    <mergeCell ref="B314:B315"/>
    <mergeCell ref="B316:B317"/>
    <mergeCell ref="B318:B319"/>
    <mergeCell ref="B320:B321"/>
    <mergeCell ref="B240:B24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04:B205"/>
    <mergeCell ref="B206:B207"/>
    <mergeCell ref="B208:B209"/>
    <mergeCell ref="B210:B211"/>
    <mergeCell ref="B212:B213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134:A135"/>
    <mergeCell ref="A136:A137"/>
    <mergeCell ref="A138:A139"/>
    <mergeCell ref="A88:A89"/>
    <mergeCell ref="A90:A91"/>
    <mergeCell ref="A92:A93"/>
    <mergeCell ref="A94:A95"/>
    <mergeCell ref="A96:A97"/>
    <mergeCell ref="A98:A99"/>
    <mergeCell ref="A184:A185"/>
    <mergeCell ref="A186:A187"/>
    <mergeCell ref="A188:A189"/>
    <mergeCell ref="A190:A191"/>
    <mergeCell ref="A192:A193"/>
    <mergeCell ref="A194:A195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C54:H55"/>
    <mergeCell ref="C56:H57"/>
    <mergeCell ref="C58:H59"/>
    <mergeCell ref="C60:H61"/>
    <mergeCell ref="C62:H63"/>
    <mergeCell ref="A176:A177"/>
    <mergeCell ref="A178:A179"/>
    <mergeCell ref="A180:A181"/>
    <mergeCell ref="A182:A183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22:A123"/>
    <mergeCell ref="A124:A125"/>
    <mergeCell ref="A126:A127"/>
    <mergeCell ref="A128:A129"/>
    <mergeCell ref="A130:A131"/>
    <mergeCell ref="A132:A133"/>
    <mergeCell ref="C112:H113"/>
    <mergeCell ref="C114:H115"/>
    <mergeCell ref="C116:H117"/>
    <mergeCell ref="C118:H119"/>
    <mergeCell ref="C92:H93"/>
    <mergeCell ref="C94:H95"/>
    <mergeCell ref="C96:H97"/>
    <mergeCell ref="C76:H77"/>
    <mergeCell ref="C78:H79"/>
    <mergeCell ref="C80:H81"/>
    <mergeCell ref="C82:H83"/>
    <mergeCell ref="C84:H85"/>
    <mergeCell ref="C86:H87"/>
    <mergeCell ref="C88:H89"/>
    <mergeCell ref="C90:H91"/>
    <mergeCell ref="C98:H99"/>
    <mergeCell ref="C100:H101"/>
    <mergeCell ref="C102:H103"/>
    <mergeCell ref="C104:H105"/>
    <mergeCell ref="C106:H107"/>
    <mergeCell ref="C108:H109"/>
    <mergeCell ref="C110:H111"/>
    <mergeCell ref="AP8:AP9"/>
    <mergeCell ref="AQ8:AQ9"/>
    <mergeCell ref="C24:H25"/>
    <mergeCell ref="C26:H27"/>
    <mergeCell ref="C28:H29"/>
    <mergeCell ref="C30:H31"/>
    <mergeCell ref="C32:H33"/>
    <mergeCell ref="C34:H35"/>
    <mergeCell ref="C36:H37"/>
    <mergeCell ref="C38:H39"/>
    <mergeCell ref="C40:H41"/>
    <mergeCell ref="C42:H43"/>
    <mergeCell ref="C44:H45"/>
    <mergeCell ref="C46:H47"/>
    <mergeCell ref="C48:H49"/>
    <mergeCell ref="C50:H51"/>
    <mergeCell ref="C52:H53"/>
    <mergeCell ref="C120:H121"/>
    <mergeCell ref="C122:H123"/>
    <mergeCell ref="C124:H125"/>
    <mergeCell ref="C126:H127"/>
    <mergeCell ref="C128:H129"/>
    <mergeCell ref="C130:H131"/>
    <mergeCell ref="C132:H133"/>
    <mergeCell ref="C134:H135"/>
    <mergeCell ref="C136:H137"/>
    <mergeCell ref="C138:H139"/>
    <mergeCell ref="C140:H141"/>
    <mergeCell ref="C142:H143"/>
    <mergeCell ref="C144:H145"/>
    <mergeCell ref="C146:H147"/>
    <mergeCell ref="C148:H149"/>
    <mergeCell ref="C150:H151"/>
    <mergeCell ref="C152:H153"/>
    <mergeCell ref="C154:H155"/>
    <mergeCell ref="C176:H177"/>
    <mergeCell ref="C178:H179"/>
    <mergeCell ref="C180:H181"/>
    <mergeCell ref="C182:H183"/>
    <mergeCell ref="C184:H185"/>
    <mergeCell ref="C186:H187"/>
    <mergeCell ref="C188:H189"/>
    <mergeCell ref="C190:H191"/>
    <mergeCell ref="C156:H157"/>
    <mergeCell ref="C158:H159"/>
    <mergeCell ref="C160:H161"/>
    <mergeCell ref="C162:H163"/>
    <mergeCell ref="C164:H165"/>
    <mergeCell ref="C166:H167"/>
    <mergeCell ref="C168:H169"/>
    <mergeCell ref="C170:H171"/>
    <mergeCell ref="C172:H173"/>
    <mergeCell ref="C192:H193"/>
    <mergeCell ref="C194:H195"/>
    <mergeCell ref="C196:H197"/>
    <mergeCell ref="C198:H199"/>
    <mergeCell ref="C200:H201"/>
    <mergeCell ref="C202:H203"/>
    <mergeCell ref="C204:H205"/>
    <mergeCell ref="C206:H207"/>
    <mergeCell ref="C208:H209"/>
    <mergeCell ref="C210:H211"/>
    <mergeCell ref="C212:H213"/>
    <mergeCell ref="C214:H215"/>
    <mergeCell ref="C216:H217"/>
    <mergeCell ref="C218:H219"/>
    <mergeCell ref="C220:H221"/>
    <mergeCell ref="C222:H223"/>
    <mergeCell ref="C224:H225"/>
    <mergeCell ref="C226:H227"/>
    <mergeCell ref="C228:H229"/>
    <mergeCell ref="C230:H231"/>
    <mergeCell ref="C232:H233"/>
    <mergeCell ref="C234:H235"/>
    <mergeCell ref="C236:H237"/>
    <mergeCell ref="C238:H239"/>
    <mergeCell ref="C240:H241"/>
    <mergeCell ref="C242:H243"/>
    <mergeCell ref="C244:H245"/>
    <mergeCell ref="C246:H247"/>
    <mergeCell ref="C248:H249"/>
    <mergeCell ref="C250:H251"/>
    <mergeCell ref="C252:H253"/>
    <mergeCell ref="C254:H255"/>
    <mergeCell ref="C256:H257"/>
    <mergeCell ref="C258:H259"/>
    <mergeCell ref="C260:H261"/>
    <mergeCell ref="C262:H263"/>
    <mergeCell ref="C264:H265"/>
    <mergeCell ref="C266:H267"/>
    <mergeCell ref="C268:H269"/>
    <mergeCell ref="C270:H271"/>
    <mergeCell ref="C272:H273"/>
    <mergeCell ref="C274:H275"/>
    <mergeCell ref="C276:H277"/>
    <mergeCell ref="C278:H279"/>
    <mergeCell ref="C280:H281"/>
    <mergeCell ref="C282:H283"/>
    <mergeCell ref="C284:H285"/>
    <mergeCell ref="C286:H287"/>
    <mergeCell ref="C288:H289"/>
    <mergeCell ref="C290:H291"/>
    <mergeCell ref="C292:H293"/>
    <mergeCell ref="C294:H295"/>
    <mergeCell ref="C296:H297"/>
    <mergeCell ref="C298:H299"/>
    <mergeCell ref="C318:H319"/>
    <mergeCell ref="C320:H321"/>
    <mergeCell ref="C322:H323"/>
    <mergeCell ref="C324:H325"/>
    <mergeCell ref="C326:H327"/>
    <mergeCell ref="C300:H301"/>
    <mergeCell ref="C302:H303"/>
    <mergeCell ref="C304:H305"/>
    <mergeCell ref="C306:H307"/>
    <mergeCell ref="C308:H309"/>
    <mergeCell ref="C310:H311"/>
    <mergeCell ref="C312:H313"/>
    <mergeCell ref="C314:H315"/>
    <mergeCell ref="C316:H317"/>
    <mergeCell ref="AP22:AP23"/>
    <mergeCell ref="AQ22:AQ23"/>
    <mergeCell ref="AP24:AP25"/>
    <mergeCell ref="AQ24:AQ25"/>
    <mergeCell ref="AP10:AP11"/>
    <mergeCell ref="AQ10:AQ11"/>
    <mergeCell ref="AP12:AP13"/>
    <mergeCell ref="AQ12:AQ13"/>
    <mergeCell ref="AP14:AP15"/>
    <mergeCell ref="AQ14:AQ15"/>
    <mergeCell ref="AP16:AP17"/>
    <mergeCell ref="AQ16:AQ17"/>
    <mergeCell ref="AP18:AP19"/>
    <mergeCell ref="AQ18:AQ19"/>
    <mergeCell ref="AP32:AP33"/>
    <mergeCell ref="AQ32:AQ33"/>
    <mergeCell ref="AP34:AP35"/>
    <mergeCell ref="AQ34:AQ35"/>
    <mergeCell ref="AP36:AP37"/>
    <mergeCell ref="AQ36:AQ37"/>
    <mergeCell ref="AP26:AP27"/>
    <mergeCell ref="AQ26:AQ27"/>
    <mergeCell ref="AP28:AP29"/>
    <mergeCell ref="AQ28:AQ29"/>
    <mergeCell ref="AP30:AP31"/>
    <mergeCell ref="AQ30:AQ31"/>
    <mergeCell ref="AP44:AP45"/>
    <mergeCell ref="AQ44:AQ45"/>
    <mergeCell ref="AP46:AP47"/>
    <mergeCell ref="AQ46:AQ47"/>
    <mergeCell ref="AP48:AP49"/>
    <mergeCell ref="AQ48:AQ49"/>
    <mergeCell ref="AP38:AP39"/>
    <mergeCell ref="AQ38:AQ39"/>
    <mergeCell ref="AP40:AP41"/>
    <mergeCell ref="AQ40:AQ41"/>
    <mergeCell ref="AP42:AP43"/>
    <mergeCell ref="AQ42:AQ43"/>
    <mergeCell ref="AP56:AP57"/>
    <mergeCell ref="AQ56:AQ57"/>
    <mergeCell ref="AP58:AP59"/>
    <mergeCell ref="AQ58:AQ59"/>
    <mergeCell ref="AP60:AP61"/>
    <mergeCell ref="AQ60:AQ61"/>
    <mergeCell ref="AP50:AP51"/>
    <mergeCell ref="AQ50:AQ51"/>
    <mergeCell ref="AP52:AP53"/>
    <mergeCell ref="AQ52:AQ53"/>
    <mergeCell ref="AP54:AP55"/>
    <mergeCell ref="AQ54:AQ55"/>
    <mergeCell ref="AP68:AP69"/>
    <mergeCell ref="AQ68:AQ69"/>
    <mergeCell ref="AP70:AP71"/>
    <mergeCell ref="AQ70:AQ71"/>
    <mergeCell ref="AP72:AP73"/>
    <mergeCell ref="AQ72:AQ73"/>
    <mergeCell ref="AP62:AP63"/>
    <mergeCell ref="AQ62:AQ63"/>
    <mergeCell ref="AP64:AP65"/>
    <mergeCell ref="AQ64:AQ65"/>
    <mergeCell ref="AP66:AP67"/>
    <mergeCell ref="AQ66:AQ67"/>
    <mergeCell ref="AP80:AP81"/>
    <mergeCell ref="AQ80:AQ81"/>
    <mergeCell ref="AP82:AP83"/>
    <mergeCell ref="AQ82:AQ83"/>
    <mergeCell ref="AP84:AP85"/>
    <mergeCell ref="AQ84:AQ85"/>
    <mergeCell ref="AP74:AP75"/>
    <mergeCell ref="AQ74:AQ75"/>
    <mergeCell ref="AP76:AP77"/>
    <mergeCell ref="AQ76:AQ77"/>
    <mergeCell ref="AP78:AP79"/>
    <mergeCell ref="AQ78:AQ79"/>
    <mergeCell ref="AP92:AP93"/>
    <mergeCell ref="AQ92:AQ93"/>
    <mergeCell ref="AP94:AP95"/>
    <mergeCell ref="AQ94:AQ95"/>
    <mergeCell ref="AP96:AP97"/>
    <mergeCell ref="AQ96:AQ97"/>
    <mergeCell ref="AP86:AP87"/>
    <mergeCell ref="AQ86:AQ87"/>
    <mergeCell ref="AP88:AP89"/>
    <mergeCell ref="AQ88:AQ89"/>
    <mergeCell ref="AP90:AP91"/>
    <mergeCell ref="AQ90:AQ91"/>
    <mergeCell ref="AP104:AP105"/>
    <mergeCell ref="AQ104:AQ105"/>
    <mergeCell ref="AP106:AP107"/>
    <mergeCell ref="AQ106:AQ107"/>
    <mergeCell ref="AP108:AP109"/>
    <mergeCell ref="AQ108:AQ109"/>
    <mergeCell ref="AP98:AP99"/>
    <mergeCell ref="AQ98:AQ99"/>
    <mergeCell ref="AP100:AP101"/>
    <mergeCell ref="AQ100:AQ101"/>
    <mergeCell ref="AP102:AP103"/>
    <mergeCell ref="AQ102:AQ103"/>
    <mergeCell ref="AQ118:AQ119"/>
    <mergeCell ref="AP120:AP121"/>
    <mergeCell ref="AQ120:AQ121"/>
    <mergeCell ref="AP110:AP111"/>
    <mergeCell ref="AQ110:AQ111"/>
    <mergeCell ref="AP112:AP113"/>
    <mergeCell ref="AQ112:AQ113"/>
    <mergeCell ref="AP114:AP115"/>
    <mergeCell ref="AQ114:AQ115"/>
    <mergeCell ref="A210:A211"/>
    <mergeCell ref="A212:A213"/>
    <mergeCell ref="AP128:AP129"/>
    <mergeCell ref="AQ128:AQ129"/>
    <mergeCell ref="B96:B97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A116:A117"/>
    <mergeCell ref="A118:A119"/>
    <mergeCell ref="A120:A121"/>
    <mergeCell ref="A232:A233"/>
    <mergeCell ref="A234:A235"/>
    <mergeCell ref="A236:A237"/>
    <mergeCell ref="A238:A239"/>
    <mergeCell ref="A240:A241"/>
    <mergeCell ref="AM2:AM3"/>
    <mergeCell ref="AN2:AN3"/>
    <mergeCell ref="AO2:AO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196:A197"/>
    <mergeCell ref="A198:A199"/>
    <mergeCell ref="A200:A201"/>
    <mergeCell ref="A202:A203"/>
    <mergeCell ref="A204:A205"/>
    <mergeCell ref="A206:A207"/>
    <mergeCell ref="A208:A209"/>
    <mergeCell ref="AP2:AP3"/>
    <mergeCell ref="AQ2:AQ3"/>
    <mergeCell ref="AR2:AR3"/>
    <mergeCell ref="AR10:AR11"/>
    <mergeCell ref="AR12:AR13"/>
    <mergeCell ref="AR14:AR15"/>
    <mergeCell ref="AR16:AR17"/>
    <mergeCell ref="AR18:AR19"/>
    <mergeCell ref="AR20:AR21"/>
    <mergeCell ref="AP20:AP21"/>
    <mergeCell ref="AQ20:AQ21"/>
    <mergeCell ref="AQ6:AQ7"/>
    <mergeCell ref="AR6:AR7"/>
    <mergeCell ref="AR8:AR9"/>
    <mergeCell ref="AP6:AP7"/>
    <mergeCell ref="AR22:AR23"/>
    <mergeCell ref="AR24:AR25"/>
    <mergeCell ref="AR26:AR27"/>
    <mergeCell ref="AR28:AR29"/>
    <mergeCell ref="AR30:AR31"/>
    <mergeCell ref="AR32:AR33"/>
    <mergeCell ref="AR34:AR35"/>
    <mergeCell ref="AR36:AR37"/>
    <mergeCell ref="AR38:AR39"/>
    <mergeCell ref="AR40:AR41"/>
    <mergeCell ref="AR42:AR43"/>
    <mergeCell ref="AR44:AR45"/>
    <mergeCell ref="AR46:AR47"/>
    <mergeCell ref="AR48:AR49"/>
    <mergeCell ref="AR50:AR51"/>
    <mergeCell ref="AR52:AR53"/>
    <mergeCell ref="AR54:AR55"/>
    <mergeCell ref="AR56:AR57"/>
    <mergeCell ref="AR58:AR59"/>
    <mergeCell ref="AR60:AR61"/>
    <mergeCell ref="AR62:AR63"/>
    <mergeCell ref="AR64:AR65"/>
    <mergeCell ref="AR66:AR67"/>
    <mergeCell ref="AR68:AR69"/>
    <mergeCell ref="AR70:AR71"/>
    <mergeCell ref="AR72:AR73"/>
    <mergeCell ref="AR74:AR75"/>
    <mergeCell ref="AR76:AR77"/>
    <mergeCell ref="AR78:AR79"/>
    <mergeCell ref="AR80:AR81"/>
    <mergeCell ref="AR82:AR83"/>
    <mergeCell ref="AR84:AR85"/>
    <mergeCell ref="AR86:AR87"/>
    <mergeCell ref="AR88:AR89"/>
    <mergeCell ref="AR90:AR91"/>
    <mergeCell ref="AR92:AR93"/>
    <mergeCell ref="AR94:AR95"/>
    <mergeCell ref="AR96:AR97"/>
    <mergeCell ref="AR98:AR99"/>
    <mergeCell ref="AR100:AR101"/>
    <mergeCell ref="AR102:AR103"/>
    <mergeCell ref="AR104:AR105"/>
    <mergeCell ref="AR106:AR107"/>
    <mergeCell ref="AR108:AR109"/>
    <mergeCell ref="AR110:AR111"/>
    <mergeCell ref="AP130:AP131"/>
    <mergeCell ref="AQ130:AQ131"/>
    <mergeCell ref="AR130:AR131"/>
    <mergeCell ref="AP132:AP133"/>
    <mergeCell ref="AQ132:AQ133"/>
    <mergeCell ref="AR132:AR133"/>
    <mergeCell ref="AR112:AR113"/>
    <mergeCell ref="AR114:AR115"/>
    <mergeCell ref="AR116:AR117"/>
    <mergeCell ref="AR118:AR119"/>
    <mergeCell ref="AR120:AR121"/>
    <mergeCell ref="AR122:AR123"/>
    <mergeCell ref="AR124:AR125"/>
    <mergeCell ref="AR126:AR127"/>
    <mergeCell ref="AR128:AR129"/>
    <mergeCell ref="AP122:AP123"/>
    <mergeCell ref="AQ122:AQ123"/>
    <mergeCell ref="AP124:AP125"/>
    <mergeCell ref="AQ124:AQ125"/>
    <mergeCell ref="AP126:AP127"/>
    <mergeCell ref="AQ126:AQ127"/>
    <mergeCell ref="AP116:AP117"/>
    <mergeCell ref="AQ116:AQ117"/>
    <mergeCell ref="AP118:AP119"/>
    <mergeCell ref="AR144:AR145"/>
    <mergeCell ref="AP138:AP139"/>
    <mergeCell ref="AQ138:AQ139"/>
    <mergeCell ref="AR138:AR139"/>
    <mergeCell ref="AP140:AP141"/>
    <mergeCell ref="AQ140:AQ141"/>
    <mergeCell ref="AR140:AR141"/>
    <mergeCell ref="AP134:AP135"/>
    <mergeCell ref="AQ134:AQ135"/>
    <mergeCell ref="AR134:AR135"/>
    <mergeCell ref="AP136:AP137"/>
    <mergeCell ref="AQ136:AQ137"/>
    <mergeCell ref="AR136:AR137"/>
    <mergeCell ref="AP150:AP151"/>
    <mergeCell ref="AQ150:AQ151"/>
    <mergeCell ref="AR150:AR15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AP146:AP147"/>
    <mergeCell ref="AQ146:AQ147"/>
    <mergeCell ref="AR146:AR147"/>
    <mergeCell ref="AP148:AP149"/>
    <mergeCell ref="AQ148:AQ149"/>
    <mergeCell ref="AR148:AR149"/>
    <mergeCell ref="AP142:AP143"/>
    <mergeCell ref="AQ142:AQ143"/>
    <mergeCell ref="AR142:AR143"/>
    <mergeCell ref="AP144:AP145"/>
    <mergeCell ref="AQ144:AQ145"/>
    <mergeCell ref="AP152:AP153"/>
    <mergeCell ref="AQ152:AQ153"/>
    <mergeCell ref="AR152:AR153"/>
    <mergeCell ref="B170:B171"/>
    <mergeCell ref="B172:B173"/>
    <mergeCell ref="B174:B175"/>
    <mergeCell ref="AP154:AP155"/>
    <mergeCell ref="AQ154:AQ155"/>
    <mergeCell ref="AR154:AR155"/>
    <mergeCell ref="AP156:AP157"/>
    <mergeCell ref="AQ156:AQ157"/>
    <mergeCell ref="AR156:AR157"/>
    <mergeCell ref="C174:H175"/>
    <mergeCell ref="B168:B169"/>
    <mergeCell ref="AP162:AP163"/>
    <mergeCell ref="AQ162:AQ163"/>
    <mergeCell ref="AR162:AR163"/>
    <mergeCell ref="AP164:AP165"/>
    <mergeCell ref="AQ164:AQ165"/>
    <mergeCell ref="AR164:AR165"/>
    <mergeCell ref="AP158:AP159"/>
    <mergeCell ref="AQ158:AQ159"/>
    <mergeCell ref="AR158:AR159"/>
    <mergeCell ref="AP160:AP161"/>
    <mergeCell ref="AQ160:AQ161"/>
    <mergeCell ref="AR160:AR161"/>
    <mergeCell ref="AP170:AP171"/>
    <mergeCell ref="AQ170:AQ171"/>
    <mergeCell ref="AR170:AR171"/>
    <mergeCell ref="AP172:AP173"/>
    <mergeCell ref="AQ172:AQ173"/>
    <mergeCell ref="AR172:AR173"/>
    <mergeCell ref="AP166:AP167"/>
    <mergeCell ref="AQ166:AQ167"/>
    <mergeCell ref="AR166:AR167"/>
    <mergeCell ref="AP168:AP169"/>
    <mergeCell ref="AQ168:AQ169"/>
    <mergeCell ref="AR168:AR169"/>
    <mergeCell ref="AP178:AP179"/>
    <mergeCell ref="AQ178:AQ179"/>
    <mergeCell ref="AR178:AR179"/>
    <mergeCell ref="AP180:AP181"/>
    <mergeCell ref="AQ180:AQ181"/>
    <mergeCell ref="AR180:AR181"/>
    <mergeCell ref="AP174:AP175"/>
    <mergeCell ref="AQ174:AQ175"/>
    <mergeCell ref="AR174:AR175"/>
    <mergeCell ref="AP176:AP177"/>
    <mergeCell ref="AQ176:AQ177"/>
    <mergeCell ref="AR176:AR177"/>
    <mergeCell ref="AP186:AP187"/>
    <mergeCell ref="AQ186:AQ187"/>
    <mergeCell ref="AR186:AR187"/>
    <mergeCell ref="AP188:AP189"/>
    <mergeCell ref="AQ188:AQ189"/>
    <mergeCell ref="AR188:AR189"/>
    <mergeCell ref="AP182:AP183"/>
    <mergeCell ref="AQ182:AQ183"/>
    <mergeCell ref="AR182:AR183"/>
    <mergeCell ref="AP184:AP185"/>
    <mergeCell ref="AQ184:AQ185"/>
    <mergeCell ref="AR184:AR185"/>
    <mergeCell ref="AP194:AP195"/>
    <mergeCell ref="AQ194:AQ195"/>
    <mergeCell ref="AR194:AR195"/>
    <mergeCell ref="AP196:AP197"/>
    <mergeCell ref="AQ196:AQ197"/>
    <mergeCell ref="AR196:AR197"/>
    <mergeCell ref="AP190:AP191"/>
    <mergeCell ref="AQ190:AQ191"/>
    <mergeCell ref="AR190:AR191"/>
    <mergeCell ref="AP192:AP193"/>
    <mergeCell ref="AQ192:AQ193"/>
    <mergeCell ref="AR192:AR193"/>
    <mergeCell ref="AP202:AP203"/>
    <mergeCell ref="AQ202:AQ203"/>
    <mergeCell ref="AR202:AR203"/>
    <mergeCell ref="AP204:AP205"/>
    <mergeCell ref="AQ204:AQ205"/>
    <mergeCell ref="AR204:AR205"/>
    <mergeCell ref="AP198:AP199"/>
    <mergeCell ref="AQ198:AQ199"/>
    <mergeCell ref="AR198:AR199"/>
    <mergeCell ref="AP200:AP201"/>
    <mergeCell ref="AQ200:AQ201"/>
    <mergeCell ref="AR200:AR201"/>
    <mergeCell ref="AP210:AP211"/>
    <mergeCell ref="AQ210:AQ211"/>
    <mergeCell ref="AR210:AR211"/>
    <mergeCell ref="AP212:AP213"/>
    <mergeCell ref="AQ212:AQ213"/>
    <mergeCell ref="AR212:AR213"/>
    <mergeCell ref="AP206:AP207"/>
    <mergeCell ref="AQ206:AQ207"/>
    <mergeCell ref="AR206:AR207"/>
    <mergeCell ref="AP208:AP209"/>
    <mergeCell ref="AQ208:AQ209"/>
    <mergeCell ref="AR208:AR209"/>
    <mergeCell ref="AP218:AP219"/>
    <mergeCell ref="AQ218:AQ219"/>
    <mergeCell ref="AR218:AR219"/>
    <mergeCell ref="AP220:AP221"/>
    <mergeCell ref="AQ220:AQ221"/>
    <mergeCell ref="AR220:AR221"/>
    <mergeCell ref="AP214:AP215"/>
    <mergeCell ref="AQ214:AQ215"/>
    <mergeCell ref="AR214:AR215"/>
    <mergeCell ref="AP216:AP217"/>
    <mergeCell ref="AQ216:AQ217"/>
    <mergeCell ref="AR216:AR217"/>
    <mergeCell ref="AP226:AP227"/>
    <mergeCell ref="AQ226:AQ227"/>
    <mergeCell ref="AR226:AR227"/>
    <mergeCell ref="AP228:AP229"/>
    <mergeCell ref="AQ228:AQ229"/>
    <mergeCell ref="AR228:AR229"/>
    <mergeCell ref="AP222:AP223"/>
    <mergeCell ref="AQ222:AQ223"/>
    <mergeCell ref="AR222:AR223"/>
    <mergeCell ref="AP224:AP225"/>
    <mergeCell ref="AQ224:AQ225"/>
    <mergeCell ref="AR224:AR225"/>
    <mergeCell ref="AP234:AP235"/>
    <mergeCell ref="AQ234:AQ235"/>
    <mergeCell ref="AR234:AR235"/>
    <mergeCell ref="AP236:AP237"/>
    <mergeCell ref="AQ236:AQ237"/>
    <mergeCell ref="AR236:AR237"/>
    <mergeCell ref="AP230:AP231"/>
    <mergeCell ref="AQ230:AQ231"/>
    <mergeCell ref="AR230:AR231"/>
    <mergeCell ref="AP232:AP233"/>
    <mergeCell ref="AQ232:AQ233"/>
    <mergeCell ref="AR232:AR233"/>
    <mergeCell ref="AP242:AP243"/>
    <mergeCell ref="AQ242:AQ243"/>
    <mergeCell ref="AR242:AR243"/>
    <mergeCell ref="AP244:AP245"/>
    <mergeCell ref="AQ244:AQ245"/>
    <mergeCell ref="AR244:AR245"/>
    <mergeCell ref="AP238:AP239"/>
    <mergeCell ref="AQ238:AQ239"/>
    <mergeCell ref="AR238:AR239"/>
    <mergeCell ref="AP240:AP241"/>
    <mergeCell ref="AQ240:AQ241"/>
    <mergeCell ref="AR240:AR241"/>
    <mergeCell ref="AP250:AP251"/>
    <mergeCell ref="AQ250:AQ251"/>
    <mergeCell ref="AR250:AR251"/>
    <mergeCell ref="AP252:AP253"/>
    <mergeCell ref="AQ252:AQ253"/>
    <mergeCell ref="AR252:AR253"/>
    <mergeCell ref="AP246:AP247"/>
    <mergeCell ref="AQ246:AQ247"/>
    <mergeCell ref="AR246:AR247"/>
    <mergeCell ref="AP248:AP249"/>
    <mergeCell ref="AQ248:AQ249"/>
    <mergeCell ref="AR248:AR249"/>
    <mergeCell ref="AP258:AP259"/>
    <mergeCell ref="AQ258:AQ259"/>
    <mergeCell ref="AR258:AR259"/>
    <mergeCell ref="AP260:AP261"/>
    <mergeCell ref="AQ260:AQ261"/>
    <mergeCell ref="AR260:AR261"/>
    <mergeCell ref="AP254:AP255"/>
    <mergeCell ref="AQ254:AQ255"/>
    <mergeCell ref="AR254:AR255"/>
    <mergeCell ref="AP256:AP257"/>
    <mergeCell ref="AQ256:AQ257"/>
    <mergeCell ref="AR256:AR257"/>
    <mergeCell ref="AP266:AP267"/>
    <mergeCell ref="AQ266:AQ267"/>
    <mergeCell ref="AR266:AR267"/>
    <mergeCell ref="AP268:AP269"/>
    <mergeCell ref="AQ268:AQ269"/>
    <mergeCell ref="AR268:AR269"/>
    <mergeCell ref="AP262:AP263"/>
    <mergeCell ref="AQ262:AQ263"/>
    <mergeCell ref="AR262:AR263"/>
    <mergeCell ref="AP264:AP265"/>
    <mergeCell ref="AQ264:AQ265"/>
    <mergeCell ref="AR264:AR265"/>
    <mergeCell ref="AP274:AP275"/>
    <mergeCell ref="AQ274:AQ275"/>
    <mergeCell ref="AR274:AR275"/>
    <mergeCell ref="AP276:AP277"/>
    <mergeCell ref="AQ276:AQ277"/>
    <mergeCell ref="AR276:AR277"/>
    <mergeCell ref="AP270:AP271"/>
    <mergeCell ref="AQ270:AQ271"/>
    <mergeCell ref="AR270:AR271"/>
    <mergeCell ref="AP272:AP273"/>
    <mergeCell ref="AQ272:AQ273"/>
    <mergeCell ref="AR272:AR273"/>
    <mergeCell ref="AP282:AP283"/>
    <mergeCell ref="AQ282:AQ283"/>
    <mergeCell ref="AR282:AR283"/>
    <mergeCell ref="AP284:AP285"/>
    <mergeCell ref="AQ284:AQ285"/>
    <mergeCell ref="AR284:AR285"/>
    <mergeCell ref="AP278:AP279"/>
    <mergeCell ref="AQ278:AQ279"/>
    <mergeCell ref="AR278:AR279"/>
    <mergeCell ref="AP280:AP281"/>
    <mergeCell ref="AQ280:AQ281"/>
    <mergeCell ref="AR280:AR281"/>
    <mergeCell ref="AP290:AP291"/>
    <mergeCell ref="AQ290:AQ291"/>
    <mergeCell ref="AR290:AR291"/>
    <mergeCell ref="AP292:AP293"/>
    <mergeCell ref="AQ292:AQ293"/>
    <mergeCell ref="AR292:AR293"/>
    <mergeCell ref="AP286:AP287"/>
    <mergeCell ref="AQ286:AQ287"/>
    <mergeCell ref="AR286:AR287"/>
    <mergeCell ref="AP288:AP289"/>
    <mergeCell ref="AQ288:AQ289"/>
    <mergeCell ref="AR288:AR289"/>
    <mergeCell ref="AP298:AP299"/>
    <mergeCell ref="AQ298:AQ299"/>
    <mergeCell ref="AR298:AR299"/>
    <mergeCell ref="AP300:AP301"/>
    <mergeCell ref="AQ300:AQ301"/>
    <mergeCell ref="AR300:AR301"/>
    <mergeCell ref="AP294:AP295"/>
    <mergeCell ref="AQ294:AQ295"/>
    <mergeCell ref="AR294:AR295"/>
    <mergeCell ref="AP296:AP297"/>
    <mergeCell ref="AQ296:AQ297"/>
    <mergeCell ref="AR296:AR297"/>
    <mergeCell ref="AP306:AP307"/>
    <mergeCell ref="AQ306:AQ307"/>
    <mergeCell ref="AR306:AR307"/>
    <mergeCell ref="AP308:AP309"/>
    <mergeCell ref="AQ308:AQ309"/>
    <mergeCell ref="AR308:AR309"/>
    <mergeCell ref="AP302:AP303"/>
    <mergeCell ref="AQ302:AQ303"/>
    <mergeCell ref="AR302:AR303"/>
    <mergeCell ref="AP304:AP305"/>
    <mergeCell ref="AQ304:AQ305"/>
    <mergeCell ref="AR304:AR305"/>
    <mergeCell ref="AP314:AP315"/>
    <mergeCell ref="AQ314:AQ315"/>
    <mergeCell ref="AR314:AR315"/>
    <mergeCell ref="AP316:AP317"/>
    <mergeCell ref="AQ316:AQ317"/>
    <mergeCell ref="AR316:AR317"/>
    <mergeCell ref="AP310:AP311"/>
    <mergeCell ref="AQ310:AQ311"/>
    <mergeCell ref="AR310:AR311"/>
    <mergeCell ref="AP312:AP313"/>
    <mergeCell ref="AQ312:AQ313"/>
    <mergeCell ref="AR312:AR313"/>
    <mergeCell ref="AP324:AP325"/>
    <mergeCell ref="AQ324:AQ325"/>
    <mergeCell ref="AR324:AR325"/>
    <mergeCell ref="AP318:AP319"/>
    <mergeCell ref="AQ318:AQ319"/>
    <mergeCell ref="AR318:AR319"/>
    <mergeCell ref="AP320:AP321"/>
    <mergeCell ref="AQ320:AQ321"/>
    <mergeCell ref="AR320:AR321"/>
    <mergeCell ref="AP326:AP327"/>
    <mergeCell ref="AQ326:AQ327"/>
    <mergeCell ref="AR326:AR327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AP322:AP323"/>
    <mergeCell ref="AQ322:AQ323"/>
    <mergeCell ref="AR322:AR323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</mergeCells>
  <pageMargins left="0.7" right="0.7" top="0.75" bottom="0.75" header="0.3" footer="0.3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0084-9901-42C9-8618-D393339FC8AD}">
  <dimension ref="A1:Q8"/>
  <sheetViews>
    <sheetView workbookViewId="0">
      <selection activeCell="Q7" sqref="Q7:Q8"/>
    </sheetView>
  </sheetViews>
  <sheetFormatPr defaultRowHeight="14.4" x14ac:dyDescent="0.3"/>
  <sheetData>
    <row r="1" spans="1:17" x14ac:dyDescent="0.3">
      <c r="A1">
        <v>2</v>
      </c>
      <c r="B1">
        <v>2</v>
      </c>
      <c r="C1">
        <v>1</v>
      </c>
      <c r="D1">
        <v>2</v>
      </c>
      <c r="E1">
        <v>1</v>
      </c>
      <c r="F1">
        <v>3</v>
      </c>
      <c r="G1">
        <v>2</v>
      </c>
      <c r="H1">
        <v>2</v>
      </c>
      <c r="I1">
        <v>2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</row>
    <row r="2" spans="1:17" x14ac:dyDescent="0.3">
      <c r="A2" t="s">
        <v>40</v>
      </c>
      <c r="B2" t="s">
        <v>40</v>
      </c>
      <c r="C2" t="s">
        <v>40</v>
      </c>
      <c r="D2" t="s">
        <v>40</v>
      </c>
      <c r="E2" t="s">
        <v>40</v>
      </c>
      <c r="F2" t="s">
        <v>39</v>
      </c>
      <c r="G2" t="s">
        <v>42</v>
      </c>
      <c r="H2" t="s">
        <v>39</v>
      </c>
      <c r="I2" t="s">
        <v>42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42</v>
      </c>
    </row>
    <row r="3" spans="1:17" x14ac:dyDescent="0.3">
      <c r="A3">
        <f>VLOOKUP(A2,GRADEPOINT!$A$2:$B$7,2,0)</f>
        <v>2</v>
      </c>
      <c r="B3">
        <f>VLOOKUP(B2,GRADEPOINT!$A$2:$B$7,2,0)</f>
        <v>2</v>
      </c>
      <c r="C3">
        <f>VLOOKUP(C2,GRADEPOINT!$A$2:$B$7,2,0)</f>
        <v>2</v>
      </c>
      <c r="D3">
        <f>VLOOKUP(D2,GRADEPOINT!$A$2:$B$7,2,0)</f>
        <v>2</v>
      </c>
      <c r="E3">
        <f>VLOOKUP(E2,GRADEPOINT!$A$2:$B$7,2,0)</f>
        <v>2</v>
      </c>
      <c r="F3">
        <f>VLOOKUP(F2,GRADEPOINT!$A$2:$B$7,2,0)</f>
        <v>3</v>
      </c>
      <c r="G3">
        <f>VLOOKUP(G2,GRADEPOINT!$A$2:$B$7,2,0)</f>
        <v>0</v>
      </c>
      <c r="H3">
        <f>VLOOKUP(H2,GRADEPOINT!$A$2:$B$7,2,0)</f>
        <v>3</v>
      </c>
      <c r="I3">
        <f>VLOOKUP(I2,GRADEPOINT!$A$2:$B$7,2,0)</f>
        <v>0</v>
      </c>
      <c r="J3">
        <f>VLOOKUP(J2,GRADEPOINT!$A$2:$B$7,2,0)</f>
        <v>3</v>
      </c>
      <c r="K3">
        <f>VLOOKUP(K2,GRADEPOINT!$A$2:$B$7,2,0)</f>
        <v>3</v>
      </c>
      <c r="L3">
        <f>VLOOKUP(L2,GRADEPOINT!$A$2:$B$7,2,0)</f>
        <v>3</v>
      </c>
      <c r="M3">
        <f>VLOOKUP(M2,GRADEPOINT!$A$2:$B$7,2,0)</f>
        <v>3</v>
      </c>
      <c r="N3">
        <f>VLOOKUP(N2,GRADEPOINT!$A$2:$B$7,2,0)</f>
        <v>3</v>
      </c>
      <c r="O3">
        <f>VLOOKUP(O2,GRADEPOINT!$A$2:$B$7,2,0)</f>
        <v>0</v>
      </c>
      <c r="Q3">
        <f>SUM(A3:O3)</f>
        <v>31</v>
      </c>
    </row>
    <row r="4" spans="1:17" ht="15" thickBot="1" x14ac:dyDescent="0.35">
      <c r="A4">
        <f>A3*A1</f>
        <v>4</v>
      </c>
      <c r="B4">
        <f t="shared" ref="B4:O4" si="0">B3*B1</f>
        <v>4</v>
      </c>
      <c r="C4">
        <f t="shared" si="0"/>
        <v>2</v>
      </c>
      <c r="D4">
        <f t="shared" si="0"/>
        <v>4</v>
      </c>
      <c r="E4">
        <f t="shared" si="0"/>
        <v>2</v>
      </c>
      <c r="F4">
        <f t="shared" si="0"/>
        <v>9</v>
      </c>
      <c r="G4">
        <f t="shared" si="0"/>
        <v>0</v>
      </c>
      <c r="H4">
        <f t="shared" si="0"/>
        <v>6</v>
      </c>
      <c r="I4">
        <f t="shared" si="0"/>
        <v>0</v>
      </c>
      <c r="J4">
        <f t="shared" si="0"/>
        <v>3</v>
      </c>
      <c r="K4">
        <f t="shared" si="0"/>
        <v>3</v>
      </c>
      <c r="L4">
        <f t="shared" si="0"/>
        <v>3</v>
      </c>
      <c r="M4">
        <f t="shared" si="0"/>
        <v>3</v>
      </c>
      <c r="N4">
        <f t="shared" si="0"/>
        <v>3</v>
      </c>
      <c r="O4">
        <f t="shared" si="0"/>
        <v>0</v>
      </c>
      <c r="Q4">
        <f>SUM(A4:O4)</f>
        <v>46</v>
      </c>
    </row>
    <row r="5" spans="1:17" ht="15" thickTop="1" x14ac:dyDescent="0.3">
      <c r="A5" s="49">
        <v>45</v>
      </c>
      <c r="B5" s="49">
        <v>46</v>
      </c>
      <c r="C5" s="49">
        <v>47</v>
      </c>
      <c r="D5" s="49">
        <v>48</v>
      </c>
      <c r="E5" s="49">
        <v>49</v>
      </c>
      <c r="F5" s="49">
        <v>50</v>
      </c>
      <c r="G5" s="49">
        <v>51</v>
      </c>
      <c r="H5" s="49">
        <v>52</v>
      </c>
      <c r="I5" s="49">
        <v>53</v>
      </c>
      <c r="J5" s="49">
        <v>54</v>
      </c>
      <c r="K5" s="49">
        <v>55</v>
      </c>
      <c r="L5" s="49">
        <v>56</v>
      </c>
      <c r="M5" s="49">
        <v>57</v>
      </c>
      <c r="N5" s="49">
        <v>58</v>
      </c>
      <c r="O5" s="49">
        <v>59</v>
      </c>
    </row>
    <row r="6" spans="1:17" x14ac:dyDescent="0.3">
      <c r="A6" s="50" t="str" cm="1">
        <f t="array" ref="A6">_xlfn.IFS(A5&gt;= 70,"A",A5&gt;=60,"B",A5&gt;=50,"C",A5&gt;=45,"D",A5&gt;=40,"E",A5&lt;40,"F")</f>
        <v>D</v>
      </c>
      <c r="B6" s="50" t="str" cm="1">
        <f t="array" ref="B6">_xlfn.IFS(B5&gt;= 70,"A",B5&gt;=60,"B",B5&gt;=50,"C",B5&gt;=45,"D",B5&gt;=40,"E",B5&lt;40,"F")</f>
        <v>D</v>
      </c>
      <c r="C6" s="50" t="str" cm="1">
        <f t="array" ref="C6">_xlfn.IFS(C5&gt;= 70,"A",C5&gt;=60,"B",C5&gt;=50,"C",C5&gt;=45,"D",C5&gt;=40,"E",C5&lt;40,"F")</f>
        <v>D</v>
      </c>
      <c r="D6" s="50" t="str" cm="1">
        <f t="array" ref="D6">_xlfn.IFS(D5&gt;= 70,"A",D5&gt;=60,"B",D5&gt;=50,"C",D5&gt;=45,"D",D5&gt;=40,"E",D5&lt;40,"F")</f>
        <v>D</v>
      </c>
      <c r="E6" s="50" t="str" cm="1">
        <f t="array" ref="E6">_xlfn.IFS(E5&gt;= 70,"A",E5&gt;=60,"B",E5&gt;=50,"C",E5&gt;=45,"D",E5&gt;=40,"E",E5&lt;40,"F")</f>
        <v>D</v>
      </c>
      <c r="F6" s="50" t="str" cm="1">
        <f t="array" ref="F6">_xlfn.IFS(F5&gt;= 70,"A",F5&gt;=60,"B",F5&gt;=50,"C",F5&gt;=45,"D",F5&gt;=40,"E",F5&lt;40,"F")</f>
        <v>C</v>
      </c>
      <c r="G6" s="50" t="str" cm="1">
        <f t="array" ref="G6">_xlfn.IFS(G5&gt;= 70,"A",G5&gt;=60,"B",G5&gt;=50,"C",G5&gt;=45,"D",G5&gt;=40,"E",G5&lt;40,"F")</f>
        <v>C</v>
      </c>
      <c r="H6" s="50" t="str" cm="1">
        <f t="array" ref="H6">_xlfn.IFS(H5&gt;= 70,"A",H5&gt;=60,"B",H5&gt;=50,"C",H5&gt;=45,"D",H5&gt;=40,"E",H5&lt;40,"F")</f>
        <v>C</v>
      </c>
      <c r="I6" s="50" t="str" cm="1">
        <f t="array" ref="I6">_xlfn.IFS(I5&gt;= 70,"A",I5&gt;=60,"B",I5&gt;=50,"C",I5&gt;=45,"D",I5&gt;=40,"E",I5&lt;40,"F")</f>
        <v>C</v>
      </c>
      <c r="J6" s="50" t="str" cm="1">
        <f t="array" ref="J6">_xlfn.IFS(J5&gt;= 70,"A",J5&gt;=60,"B",J5&gt;=50,"C",J5&gt;=45,"D",J5&gt;=40,"E",J5&lt;40,"F")</f>
        <v>C</v>
      </c>
      <c r="K6" s="50" t="str" cm="1">
        <f t="array" ref="K6">_xlfn.IFS(K5&gt;= 70,"A",K5&gt;=60,"B",K5&gt;=50,"C",K5&gt;=45,"D",K5&gt;=40,"E",K5&lt;40,"F")</f>
        <v>C</v>
      </c>
      <c r="L6" s="50" t="str" cm="1">
        <f t="array" ref="L6">_xlfn.IFS(L5&gt;= 70,"A",L5&gt;=60,"B",L5&gt;=50,"C",L5&gt;=45,"D",L5&gt;=40,"E",L5&lt;40,"F")</f>
        <v>C</v>
      </c>
      <c r="M6" s="50" t="str" cm="1">
        <f t="array" ref="M6">_xlfn.IFS(M5&gt;= 70,"A",M5&gt;=60,"B",M5&gt;=50,"C",M5&gt;=45,"D",M5&gt;=40,"E",M5&lt;40,"F")</f>
        <v>C</v>
      </c>
      <c r="N6" s="50" t="str" cm="1">
        <f t="array" ref="N6">_xlfn.IFS(N5&gt;= 70,"A",N5&gt;=60,"B",N5&gt;=50,"C",N5&gt;=45,"D",N5&gt;=40,"E",N5&lt;40,"F")</f>
        <v>C</v>
      </c>
      <c r="O6" s="50" t="str" cm="1">
        <f t="array" ref="O6">_xlfn.IFS(O5&gt;= 70,"A",O5&gt;=60,"B",O5&gt;=50,"C",O5&gt;=45,"D",O5&gt;=40,"E",O5&lt;40,"F")</f>
        <v>C</v>
      </c>
    </row>
    <row r="7" spans="1:17" x14ac:dyDescent="0.3">
      <c r="A7">
        <f>VLOOKUP(A6,GRADEPOINT!$A$2:$B$7,2,0)</f>
        <v>2</v>
      </c>
      <c r="B7">
        <f>VLOOKUP(B6,GRADEPOINT!$A$2:$B$7,2,0)</f>
        <v>2</v>
      </c>
      <c r="C7">
        <f>VLOOKUP(C6,GRADEPOINT!$A$2:$B$7,2,0)</f>
        <v>2</v>
      </c>
      <c r="D7">
        <f>VLOOKUP(D6,GRADEPOINT!$A$2:$B$7,2,0)</f>
        <v>2</v>
      </c>
      <c r="E7">
        <f>VLOOKUP(E6,GRADEPOINT!$A$2:$B$7,2,0)</f>
        <v>2</v>
      </c>
      <c r="F7">
        <f>VLOOKUP(F6,GRADEPOINT!$A$2:$B$7,2,0)</f>
        <v>3</v>
      </c>
      <c r="G7">
        <f>VLOOKUP(G6,GRADEPOINT!$A$2:$B$7,2,0)</f>
        <v>3</v>
      </c>
      <c r="H7">
        <f>VLOOKUP(H6,GRADEPOINT!$A$2:$B$7,2,0)</f>
        <v>3</v>
      </c>
      <c r="I7">
        <f>VLOOKUP(I6,GRADEPOINT!$A$2:$B$7,2,0)</f>
        <v>3</v>
      </c>
      <c r="J7">
        <f>VLOOKUP(J6,GRADEPOINT!$A$2:$B$7,2,0)</f>
        <v>3</v>
      </c>
      <c r="K7">
        <f>VLOOKUP(K6,GRADEPOINT!$A$2:$B$7,2,0)</f>
        <v>3</v>
      </c>
      <c r="L7">
        <f>VLOOKUP(L6,GRADEPOINT!$A$2:$B$7,2,0)</f>
        <v>3</v>
      </c>
      <c r="M7">
        <f>VLOOKUP(M6,GRADEPOINT!$A$2:$B$7,2,0)</f>
        <v>3</v>
      </c>
      <c r="N7">
        <f>VLOOKUP(N6,GRADEPOINT!$A$2:$B$7,2,0)</f>
        <v>3</v>
      </c>
      <c r="O7">
        <f>VLOOKUP(O6,GRADEPOINT!$A$2:$B$7,2,0)</f>
        <v>3</v>
      </c>
      <c r="Q7">
        <f>SUM(A7:O7)</f>
        <v>40</v>
      </c>
    </row>
    <row r="8" spans="1:17" x14ac:dyDescent="0.3">
      <c r="A8">
        <f>A7*A1</f>
        <v>4</v>
      </c>
      <c r="B8">
        <f t="shared" ref="B8:O8" si="1">B7*B1</f>
        <v>4</v>
      </c>
      <c r="C8">
        <f t="shared" si="1"/>
        <v>2</v>
      </c>
      <c r="D8">
        <f t="shared" si="1"/>
        <v>4</v>
      </c>
      <c r="E8">
        <f t="shared" si="1"/>
        <v>2</v>
      </c>
      <c r="F8">
        <f t="shared" si="1"/>
        <v>9</v>
      </c>
      <c r="G8">
        <f t="shared" si="1"/>
        <v>6</v>
      </c>
      <c r="H8">
        <f t="shared" si="1"/>
        <v>6</v>
      </c>
      <c r="I8">
        <f t="shared" si="1"/>
        <v>6</v>
      </c>
      <c r="J8">
        <f t="shared" si="1"/>
        <v>3</v>
      </c>
      <c r="K8">
        <f t="shared" si="1"/>
        <v>3</v>
      </c>
      <c r="L8">
        <f t="shared" si="1"/>
        <v>3</v>
      </c>
      <c r="M8">
        <f t="shared" si="1"/>
        <v>3</v>
      </c>
      <c r="N8">
        <f t="shared" si="1"/>
        <v>3</v>
      </c>
      <c r="O8">
        <f t="shared" si="1"/>
        <v>3</v>
      </c>
      <c r="Q8">
        <f>SUM(A8:O8)</f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0111-0BFC-4CE9-AEBC-0325B66CA7C2}">
  <dimension ref="A1:O1"/>
  <sheetViews>
    <sheetView workbookViewId="0">
      <selection sqref="A1:O1"/>
    </sheetView>
  </sheetViews>
  <sheetFormatPr defaultRowHeight="14.4" x14ac:dyDescent="0.3"/>
  <sheetData>
    <row r="1" spans="1:15" ht="19.2" thickTop="1" thickBot="1" x14ac:dyDescent="0.35">
      <c r="A1" s="16" t="e" cm="1">
        <f t="array" ref="A1">TRANSPOSE('REG. COURSES'!#REF!)</f>
        <v>#REF!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AAE2-C789-4673-8CED-4E835C490747}">
  <dimension ref="A1:C7"/>
  <sheetViews>
    <sheetView workbookViewId="0">
      <selection sqref="A1:C7"/>
    </sheetView>
  </sheetViews>
  <sheetFormatPr defaultRowHeight="14.4" x14ac:dyDescent="0.3"/>
  <sheetData>
    <row r="1" spans="1:3" x14ac:dyDescent="0.3">
      <c r="A1" s="130" t="s">
        <v>36</v>
      </c>
      <c r="B1" s="130"/>
      <c r="C1" s="130"/>
    </row>
    <row r="2" spans="1:3" x14ac:dyDescent="0.3">
      <c r="A2" t="s">
        <v>37</v>
      </c>
      <c r="B2">
        <v>5</v>
      </c>
    </row>
    <row r="3" spans="1:3" x14ac:dyDescent="0.3">
      <c r="A3" t="s">
        <v>38</v>
      </c>
      <c r="B3">
        <v>4</v>
      </c>
    </row>
    <row r="4" spans="1:3" x14ac:dyDescent="0.3">
      <c r="A4" t="s">
        <v>39</v>
      </c>
      <c r="B4">
        <v>3</v>
      </c>
    </row>
    <row r="5" spans="1:3" x14ac:dyDescent="0.3">
      <c r="A5" t="s">
        <v>40</v>
      </c>
      <c r="B5">
        <v>2</v>
      </c>
    </row>
    <row r="6" spans="1:3" x14ac:dyDescent="0.3">
      <c r="A6" t="s">
        <v>41</v>
      </c>
      <c r="B6">
        <v>1</v>
      </c>
    </row>
    <row r="7" spans="1:3" x14ac:dyDescent="0.3">
      <c r="A7" t="s">
        <v>42</v>
      </c>
      <c r="B7">
        <v>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92BB-F771-475B-B959-DFA0AE72E57D}">
  <dimension ref="A2:M41"/>
  <sheetViews>
    <sheetView topLeftCell="A4" workbookViewId="0">
      <selection activeCell="C24" sqref="C24"/>
    </sheetView>
  </sheetViews>
  <sheetFormatPr defaultRowHeight="14.4" x14ac:dyDescent="0.3"/>
  <cols>
    <col min="1" max="1" width="10.6640625" customWidth="1"/>
    <col min="2" max="2" width="9.77734375" customWidth="1"/>
    <col min="5" max="5" width="10.44140625" bestFit="1" customWidth="1"/>
  </cols>
  <sheetData>
    <row r="2" spans="1:13" x14ac:dyDescent="0.3">
      <c r="A2" s="89" t="s">
        <v>11</v>
      </c>
      <c r="B2" s="89"/>
      <c r="C2" s="89"/>
      <c r="D2" s="89"/>
    </row>
    <row r="4" spans="1:13" x14ac:dyDescent="0.3">
      <c r="A4" s="89" t="s">
        <v>12</v>
      </c>
      <c r="B4" s="89"/>
      <c r="C4" s="89"/>
      <c r="D4" s="89"/>
      <c r="E4" s="89"/>
    </row>
    <row r="5" spans="1:13" x14ac:dyDescent="0.3">
      <c r="A5" t="s">
        <v>14</v>
      </c>
      <c r="B5" t="s">
        <v>19</v>
      </c>
      <c r="I5" t="s">
        <v>14</v>
      </c>
      <c r="J5" t="s">
        <v>19</v>
      </c>
    </row>
    <row r="6" spans="1:13" x14ac:dyDescent="0.3">
      <c r="A6" t="s">
        <v>13</v>
      </c>
      <c r="B6" s="13">
        <v>100</v>
      </c>
      <c r="I6" t="s">
        <v>13</v>
      </c>
      <c r="J6" s="13">
        <v>200</v>
      </c>
    </row>
    <row r="7" spans="1:13" x14ac:dyDescent="0.3">
      <c r="B7" t="s">
        <v>15</v>
      </c>
      <c r="J7" t="s">
        <v>33</v>
      </c>
    </row>
    <row r="8" spans="1:13" ht="40.200000000000003" x14ac:dyDescent="0.3">
      <c r="A8" s="11" t="s">
        <v>16</v>
      </c>
      <c r="B8" s="12" t="s">
        <v>17</v>
      </c>
      <c r="C8" s="12" t="s">
        <v>28</v>
      </c>
      <c r="D8" s="12" t="s">
        <v>18</v>
      </c>
      <c r="E8" s="1"/>
      <c r="I8" s="11" t="s">
        <v>16</v>
      </c>
      <c r="J8" s="12" t="s">
        <v>17</v>
      </c>
      <c r="K8" s="12" t="s">
        <v>28</v>
      </c>
      <c r="L8" s="12" t="s">
        <v>18</v>
      </c>
      <c r="M8" s="1"/>
    </row>
    <row r="9" spans="1:13" x14ac:dyDescent="0.3">
      <c r="A9" s="131" t="s">
        <v>20</v>
      </c>
      <c r="B9" s="131"/>
      <c r="C9" s="131"/>
      <c r="D9" s="131"/>
      <c r="E9" s="131"/>
      <c r="I9" s="131" t="s">
        <v>20</v>
      </c>
      <c r="J9" s="131"/>
      <c r="K9" s="131"/>
      <c r="L9" s="131"/>
      <c r="M9" s="131"/>
    </row>
    <row r="10" spans="1:13" x14ac:dyDescent="0.3">
      <c r="A10" t="s">
        <v>22</v>
      </c>
      <c r="B10">
        <v>111</v>
      </c>
      <c r="C10">
        <v>2</v>
      </c>
      <c r="I10" t="s">
        <v>22</v>
      </c>
      <c r="J10">
        <v>111</v>
      </c>
      <c r="K10">
        <v>2</v>
      </c>
    </row>
    <row r="11" spans="1:13" x14ac:dyDescent="0.3">
      <c r="A11" t="s">
        <v>23</v>
      </c>
      <c r="B11">
        <v>101</v>
      </c>
      <c r="C11">
        <v>2</v>
      </c>
      <c r="I11" t="s">
        <v>23</v>
      </c>
      <c r="J11">
        <v>101</v>
      </c>
      <c r="K11">
        <v>2</v>
      </c>
    </row>
    <row r="12" spans="1:13" x14ac:dyDescent="0.3">
      <c r="A12" t="s">
        <v>24</v>
      </c>
      <c r="B12">
        <v>111</v>
      </c>
      <c r="C12">
        <v>1</v>
      </c>
      <c r="I12" t="s">
        <v>24</v>
      </c>
      <c r="J12">
        <v>111</v>
      </c>
      <c r="K12">
        <v>1</v>
      </c>
    </row>
    <row r="13" spans="1:13" x14ac:dyDescent="0.3">
      <c r="A13" t="s">
        <v>25</v>
      </c>
      <c r="B13">
        <v>101</v>
      </c>
      <c r="C13">
        <v>2</v>
      </c>
      <c r="I13" t="s">
        <v>25</v>
      </c>
      <c r="J13">
        <v>101</v>
      </c>
      <c r="K13">
        <v>2</v>
      </c>
    </row>
    <row r="14" spans="1:13" x14ac:dyDescent="0.3">
      <c r="A14" t="s">
        <v>25</v>
      </c>
      <c r="B14">
        <v>111</v>
      </c>
      <c r="C14">
        <v>1</v>
      </c>
      <c r="I14" t="s">
        <v>25</v>
      </c>
      <c r="J14">
        <v>111</v>
      </c>
      <c r="K14">
        <v>1</v>
      </c>
    </row>
    <row r="15" spans="1:13" x14ac:dyDescent="0.3">
      <c r="A15" t="s">
        <v>26</v>
      </c>
      <c r="B15">
        <v>101</v>
      </c>
      <c r="C15">
        <v>3</v>
      </c>
      <c r="I15" t="s">
        <v>26</v>
      </c>
      <c r="J15">
        <v>101</v>
      </c>
      <c r="K15">
        <v>3</v>
      </c>
    </row>
    <row r="16" spans="1:13" x14ac:dyDescent="0.3">
      <c r="A16" t="s">
        <v>27</v>
      </c>
      <c r="B16">
        <v>101</v>
      </c>
      <c r="C16">
        <v>2</v>
      </c>
      <c r="I16" t="s">
        <v>27</v>
      </c>
      <c r="J16">
        <v>101</v>
      </c>
      <c r="K16">
        <v>2</v>
      </c>
    </row>
    <row r="17" spans="1:13" x14ac:dyDescent="0.3">
      <c r="A17" t="s">
        <v>21</v>
      </c>
      <c r="B17">
        <v>101</v>
      </c>
      <c r="C17">
        <v>2</v>
      </c>
      <c r="I17" t="s">
        <v>21</v>
      </c>
      <c r="J17">
        <v>101</v>
      </c>
      <c r="K17">
        <v>2</v>
      </c>
    </row>
    <row r="18" spans="1:13" x14ac:dyDescent="0.3">
      <c r="A18" t="s">
        <v>21</v>
      </c>
      <c r="B18">
        <v>103</v>
      </c>
      <c r="C18">
        <v>2</v>
      </c>
      <c r="I18" t="s">
        <v>21</v>
      </c>
      <c r="J18">
        <v>103</v>
      </c>
      <c r="K18">
        <v>2</v>
      </c>
    </row>
    <row r="19" spans="1:13" x14ac:dyDescent="0.3">
      <c r="A19" t="s">
        <v>21</v>
      </c>
      <c r="B19">
        <v>104</v>
      </c>
      <c r="C19">
        <v>1</v>
      </c>
      <c r="I19" t="s">
        <v>21</v>
      </c>
      <c r="J19">
        <v>104</v>
      </c>
    </row>
    <row r="20" spans="1:13" x14ac:dyDescent="0.3">
      <c r="A20" t="s">
        <v>21</v>
      </c>
      <c r="B20">
        <v>105</v>
      </c>
      <c r="C20">
        <v>1</v>
      </c>
      <c r="I20" t="s">
        <v>21</v>
      </c>
      <c r="J20">
        <v>105</v>
      </c>
    </row>
    <row r="21" spans="1:13" x14ac:dyDescent="0.3">
      <c r="A21" t="s">
        <v>21</v>
      </c>
      <c r="B21">
        <v>106</v>
      </c>
      <c r="C21">
        <v>1</v>
      </c>
      <c r="I21" t="s">
        <v>21</v>
      </c>
      <c r="J21">
        <v>106</v>
      </c>
    </row>
    <row r="22" spans="1:13" x14ac:dyDescent="0.3">
      <c r="A22" t="s">
        <v>21</v>
      </c>
      <c r="B22">
        <v>107</v>
      </c>
      <c r="C22">
        <v>1</v>
      </c>
      <c r="I22" t="s">
        <v>21</v>
      </c>
      <c r="J22">
        <v>107</v>
      </c>
    </row>
    <row r="23" spans="1:13" x14ac:dyDescent="0.3">
      <c r="A23" t="s">
        <v>21</v>
      </c>
      <c r="B23">
        <v>108</v>
      </c>
      <c r="C23">
        <v>1</v>
      </c>
      <c r="I23" t="s">
        <v>21</v>
      </c>
      <c r="J23">
        <v>108</v>
      </c>
    </row>
    <row r="24" spans="1:13" x14ac:dyDescent="0.3">
      <c r="A24" t="s">
        <v>21</v>
      </c>
      <c r="B24">
        <v>109</v>
      </c>
      <c r="C24">
        <v>1</v>
      </c>
      <c r="I24" t="s">
        <v>21</v>
      </c>
      <c r="J24">
        <v>109</v>
      </c>
    </row>
    <row r="27" spans="1:13" x14ac:dyDescent="0.3">
      <c r="A27" s="132" t="s">
        <v>29</v>
      </c>
      <c r="B27" s="132"/>
      <c r="C27" s="132"/>
      <c r="D27" s="132"/>
      <c r="E27" s="132"/>
      <c r="I27" s="132" t="s">
        <v>29</v>
      </c>
      <c r="J27" s="132"/>
      <c r="K27" s="132"/>
      <c r="L27" s="132"/>
      <c r="M27" s="132"/>
    </row>
    <row r="28" spans="1:13" x14ac:dyDescent="0.3">
      <c r="A28" t="s">
        <v>22</v>
      </c>
      <c r="B28">
        <v>112</v>
      </c>
      <c r="C28">
        <v>2</v>
      </c>
      <c r="I28" t="s">
        <v>22</v>
      </c>
      <c r="J28">
        <v>112</v>
      </c>
      <c r="K28">
        <v>2</v>
      </c>
    </row>
    <row r="29" spans="1:13" x14ac:dyDescent="0.3">
      <c r="A29" t="s">
        <v>23</v>
      </c>
      <c r="B29">
        <v>102</v>
      </c>
      <c r="C29">
        <v>2</v>
      </c>
      <c r="I29" t="s">
        <v>23</v>
      </c>
      <c r="J29">
        <v>102</v>
      </c>
      <c r="K29">
        <v>2</v>
      </c>
    </row>
    <row r="30" spans="1:13" x14ac:dyDescent="0.3">
      <c r="A30" t="s">
        <v>30</v>
      </c>
      <c r="B30">
        <v>112</v>
      </c>
      <c r="C30">
        <v>1</v>
      </c>
      <c r="I30" t="s">
        <v>30</v>
      </c>
      <c r="J30">
        <v>112</v>
      </c>
      <c r="K30">
        <v>1</v>
      </c>
    </row>
    <row r="31" spans="1:13" x14ac:dyDescent="0.3">
      <c r="A31" t="s">
        <v>24</v>
      </c>
      <c r="B31">
        <v>100</v>
      </c>
      <c r="C31">
        <v>1</v>
      </c>
      <c r="I31" t="s">
        <v>24</v>
      </c>
      <c r="J31">
        <v>100</v>
      </c>
      <c r="K31">
        <v>1</v>
      </c>
    </row>
    <row r="32" spans="1:13" x14ac:dyDescent="0.3">
      <c r="A32" t="s">
        <v>31</v>
      </c>
      <c r="B32">
        <v>112</v>
      </c>
      <c r="C32">
        <v>3</v>
      </c>
      <c r="I32" t="s">
        <v>31</v>
      </c>
      <c r="J32">
        <v>112</v>
      </c>
      <c r="K32">
        <v>3</v>
      </c>
    </row>
    <row r="33" spans="1:11" x14ac:dyDescent="0.3">
      <c r="A33" s="14" t="s">
        <v>32</v>
      </c>
      <c r="B33">
        <v>106</v>
      </c>
      <c r="C33">
        <v>1</v>
      </c>
      <c r="I33" s="14" t="s">
        <v>32</v>
      </c>
      <c r="J33">
        <v>106</v>
      </c>
      <c r="K33">
        <v>1</v>
      </c>
    </row>
    <row r="34" spans="1:11" x14ac:dyDescent="0.3">
      <c r="A34" t="s">
        <v>21</v>
      </c>
      <c r="B34">
        <v>102</v>
      </c>
      <c r="C34">
        <v>2</v>
      </c>
      <c r="I34" t="s">
        <v>21</v>
      </c>
      <c r="J34">
        <v>102</v>
      </c>
      <c r="K34">
        <v>2</v>
      </c>
    </row>
    <row r="35" spans="1:11" x14ac:dyDescent="0.3">
      <c r="A35" t="s">
        <v>21</v>
      </c>
      <c r="I35" t="s">
        <v>21</v>
      </c>
    </row>
    <row r="36" spans="1:11" x14ac:dyDescent="0.3">
      <c r="A36" t="s">
        <v>21</v>
      </c>
      <c r="I36" t="s">
        <v>21</v>
      </c>
    </row>
    <row r="37" spans="1:11" x14ac:dyDescent="0.3">
      <c r="A37" t="s">
        <v>21</v>
      </c>
      <c r="I37" t="s">
        <v>21</v>
      </c>
    </row>
    <row r="38" spans="1:11" x14ac:dyDescent="0.3">
      <c r="A38" t="s">
        <v>21</v>
      </c>
      <c r="I38" t="s">
        <v>21</v>
      </c>
    </row>
    <row r="39" spans="1:11" x14ac:dyDescent="0.3">
      <c r="A39" t="s">
        <v>21</v>
      </c>
      <c r="I39" t="s">
        <v>21</v>
      </c>
    </row>
    <row r="40" spans="1:11" x14ac:dyDescent="0.3">
      <c r="A40" t="s">
        <v>21</v>
      </c>
      <c r="I40" t="s">
        <v>21</v>
      </c>
    </row>
    <row r="41" spans="1:11" x14ac:dyDescent="0.3">
      <c r="A41" t="s">
        <v>21</v>
      </c>
      <c r="I41" t="s">
        <v>21</v>
      </c>
    </row>
  </sheetData>
  <mergeCells count="6">
    <mergeCell ref="A2:D2"/>
    <mergeCell ref="A4:E4"/>
    <mergeCell ref="A9:E9"/>
    <mergeCell ref="A27:E27"/>
    <mergeCell ref="I9:M9"/>
    <mergeCell ref="I27:M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CGPA (2)</vt:lpstr>
      <vt:lpstr>Sheet4</vt:lpstr>
      <vt:lpstr>Sheet3</vt:lpstr>
      <vt:lpstr>GRADEPOINT</vt:lpstr>
      <vt:lpstr>REG.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AKINYEMI SAMUEL TOSIN</dc:creator>
  <cp:lastModifiedBy>Ukaga Chinyere</cp:lastModifiedBy>
  <dcterms:created xsi:type="dcterms:W3CDTF">2025-05-21T09:28:25Z</dcterms:created>
  <dcterms:modified xsi:type="dcterms:W3CDTF">2025-06-18T08:53:07Z</dcterms:modified>
</cp:coreProperties>
</file>